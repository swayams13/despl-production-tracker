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harat\Downloads\"/>
    </mc:Choice>
  </mc:AlternateContent>
  <xr:revisionPtr revIDLastSave="0" documentId="13_ncr:1_{C94B3234-F8A9-496D-9DEB-DDD7E56693AD}" xr6:coauthVersionLast="47" xr6:coauthVersionMax="47" xr10:uidLastSave="{00000000-0000-0000-0000-000000000000}"/>
  <bookViews>
    <workbookView xWindow="-108" yWindow="-108" windowWidth="23256" windowHeight="12576" tabRatio="919" firstSheet="1" activeTab="1" xr2:uid="{00000000-000D-0000-FFFF-FFFF00000000}"/>
  </bookViews>
  <sheets>
    <sheet name="Read Me" sheetId="1" r:id="rId1"/>
    <sheet name="Parts Master" sheetId="2" r:id="rId2"/>
    <sheet name="Part Routes" sheetId="3" r:id="rId3"/>
    <sheet name="Assembly Sequence" sheetId="4" r:id="rId4"/>
    <sheet name="New Operations" sheetId="5" r:id="rId5"/>
    <sheet name="HE Stages" sheetId="6" r:id="rId6"/>
    <sheet name="PV Stages (ref)" sheetId="7" r:id="rId7"/>
    <sheet name="Material Master" sheetId="8" r:id="rId8"/>
    <sheet name="Lists" sheetId="9" state="hidden" r:id="rId9"/>
    <sheet name="Review Actions" sheetId="10" r:id="rId10"/>
    <sheet name="Pilot Review" sheetId="11" r:id="rId11"/>
    <sheet name="SP40 Drawing Basis" sheetId="12" r:id="rId12"/>
    <sheet name="PV Drawing Basis" sheetId="13" r:id="rId13"/>
    <sheet name="PV Review" sheetId="14" r:id="rId14"/>
  </sheets>
  <definedNames>
    <definedName name="_xlnm._FilterDatabase" localSheetId="3" hidden="1">'Assembly Sequence'!$A$4:$N$317</definedName>
    <definedName name="_xlnm._FilterDatabase" localSheetId="5" hidden="1">'HE Stages'!$A$4:$N$306</definedName>
    <definedName name="_xlnm._FilterDatabase" localSheetId="7" hidden="1">'Material Master'!$A$4:$F$305</definedName>
    <definedName name="_xlnm._FilterDatabase" localSheetId="4" hidden="1">'New Operations'!$A$4:$G$305</definedName>
    <definedName name="_xlnm._FilterDatabase" localSheetId="2" hidden="1">'Part Routes'!$A$4:$R$336</definedName>
    <definedName name="_xlnm._FilterDatabase" localSheetId="1" hidden="1">'Parts Master'!$A$4:$T$309</definedName>
    <definedName name="_xlnm._FilterDatabase" localSheetId="6" hidden="1">'PV Stages (ref)'!$A$4:$G$40</definedName>
    <definedName name="_xlnm.Print_Titles" localSheetId="3">'Assembly Sequence'!$4:$4</definedName>
    <definedName name="_xlnm.Print_Titles" localSheetId="5">'HE Stages'!$4:$4</definedName>
    <definedName name="_xlnm.Print_Titles" localSheetId="7">'Material Master'!$4:$4</definedName>
    <definedName name="_xlnm.Print_Titles" localSheetId="4">'New Operations'!$4:$4</definedName>
    <definedName name="_xlnm.Print_Titles" localSheetId="2">'Part Routes'!$4:$4</definedName>
    <definedName name="_xlnm.Print_Titles" localSheetId="1">'Parts Master'!$4:$4</definedName>
    <definedName name="_xlnm.Print_Titles" localSheetId="6">'PV Stages (ref)'!$4:$4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14" l="1"/>
  <c r="B12" i="14"/>
  <c r="B11" i="14"/>
  <c r="B10" i="14"/>
  <c r="B9" i="14"/>
  <c r="B8" i="14"/>
  <c r="B6" i="14"/>
  <c r="B5" i="14"/>
  <c r="T64" i="2"/>
  <c r="S64" i="2"/>
  <c r="R64" i="2"/>
  <c r="T63" i="2"/>
  <c r="S63" i="2"/>
  <c r="R63" i="2"/>
  <c r="T62" i="2"/>
  <c r="S62" i="2"/>
  <c r="R62" i="2"/>
  <c r="T61" i="2"/>
  <c r="S61" i="2"/>
  <c r="R61" i="2"/>
  <c r="T60" i="2"/>
  <c r="S60" i="2"/>
  <c r="R60" i="2"/>
  <c r="T59" i="2"/>
  <c r="S59" i="2"/>
  <c r="R59" i="2"/>
  <c r="T58" i="2"/>
  <c r="S58" i="2"/>
  <c r="R58" i="2"/>
  <c r="T57" i="2"/>
  <c r="S57" i="2"/>
  <c r="R57" i="2"/>
  <c r="T56" i="2"/>
  <c r="S56" i="2"/>
  <c r="R56" i="2"/>
  <c r="T55" i="2"/>
  <c r="S55" i="2"/>
  <c r="R55" i="2"/>
  <c r="T54" i="2"/>
  <c r="S54" i="2"/>
  <c r="R54" i="2"/>
  <c r="T53" i="2"/>
  <c r="S53" i="2"/>
  <c r="R53" i="2"/>
  <c r="T52" i="2"/>
  <c r="S52" i="2"/>
  <c r="R52" i="2"/>
  <c r="T51" i="2"/>
  <c r="S51" i="2"/>
  <c r="R51" i="2"/>
  <c r="T50" i="2"/>
  <c r="S50" i="2"/>
  <c r="R50" i="2"/>
  <c r="T49" i="2"/>
  <c r="S49" i="2"/>
  <c r="R49" i="2"/>
  <c r="T48" i="2"/>
  <c r="S48" i="2"/>
  <c r="R48" i="2"/>
  <c r="T47" i="2"/>
  <c r="S47" i="2"/>
  <c r="R47" i="2"/>
  <c r="T46" i="2"/>
  <c r="S46" i="2"/>
  <c r="R46" i="2"/>
  <c r="T45" i="2"/>
  <c r="S45" i="2"/>
  <c r="R45" i="2"/>
  <c r="T44" i="2"/>
  <c r="S44" i="2"/>
  <c r="R44" i="2"/>
  <c r="T43" i="2"/>
  <c r="S43" i="2"/>
  <c r="R43" i="2"/>
  <c r="T42" i="2"/>
  <c r="S42" i="2"/>
  <c r="R42" i="2"/>
  <c r="T41" i="2"/>
  <c r="S41" i="2"/>
  <c r="R41" i="2"/>
  <c r="T40" i="2"/>
  <c r="S40" i="2"/>
  <c r="R40" i="2"/>
  <c r="T39" i="2"/>
  <c r="S39" i="2"/>
  <c r="R39" i="2"/>
  <c r="T38" i="2"/>
  <c r="S38" i="2"/>
  <c r="R38" i="2"/>
  <c r="T37" i="2"/>
  <c r="S37" i="2"/>
  <c r="R37" i="2"/>
  <c r="T36" i="2"/>
  <c r="S36" i="2"/>
  <c r="R36" i="2"/>
  <c r="T35" i="2"/>
  <c r="S35" i="2"/>
  <c r="R35" i="2"/>
  <c r="B9" i="11" a="1"/>
  <c r="B8" i="11"/>
  <c r="B7" i="11"/>
  <c r="B6" i="11"/>
  <c r="B10" i="11"/>
  <c r="C84" i="3"/>
  <c r="C83" i="3"/>
  <c r="C82" i="3"/>
  <c r="C81" i="3"/>
  <c r="C80" i="3"/>
  <c r="C79" i="3"/>
  <c r="C78" i="3"/>
  <c r="C77" i="3"/>
  <c r="C76" i="3"/>
  <c r="C75" i="3"/>
  <c r="C74" i="3"/>
  <c r="C73" i="3"/>
  <c r="C72" i="3"/>
  <c r="T34" i="2"/>
  <c r="S34" i="2"/>
  <c r="R34" i="2"/>
  <c r="T33" i="2"/>
  <c r="S33" i="2"/>
  <c r="R33" i="2"/>
  <c r="T32" i="2"/>
  <c r="S32" i="2"/>
  <c r="R32" i="2"/>
  <c r="T31" i="2"/>
  <c r="S31" i="2"/>
  <c r="R31" i="2"/>
  <c r="T30" i="2"/>
  <c r="S30" i="2"/>
  <c r="R30" i="2"/>
  <c r="T29" i="2"/>
  <c r="S29" i="2"/>
  <c r="R29" i="2"/>
  <c r="T28" i="2"/>
  <c r="S28" i="2"/>
  <c r="R28" i="2"/>
  <c r="T27" i="2"/>
  <c r="S27" i="2"/>
  <c r="R27" i="2"/>
  <c r="T26" i="2"/>
  <c r="S26" i="2"/>
  <c r="R26" i="2"/>
  <c r="T25" i="2"/>
  <c r="S25" i="2"/>
  <c r="R25" i="2"/>
  <c r="T24" i="2"/>
  <c r="S24" i="2"/>
  <c r="R24" i="2"/>
  <c r="T23" i="2"/>
  <c r="S23" i="2"/>
  <c r="R23" i="2"/>
  <c r="T22" i="2"/>
  <c r="S22" i="2"/>
  <c r="R22" i="2"/>
  <c r="T21" i="2"/>
  <c r="S21" i="2"/>
  <c r="R21" i="2"/>
  <c r="T20" i="2"/>
  <c r="S20" i="2"/>
  <c r="R20" i="2"/>
  <c r="T19" i="2"/>
  <c r="S19" i="2"/>
  <c r="R19" i="2"/>
  <c r="T18" i="2"/>
  <c r="S18" i="2"/>
  <c r="R18" i="2"/>
  <c r="T17" i="2"/>
  <c r="S17" i="2"/>
  <c r="R17" i="2"/>
  <c r="T16" i="2"/>
  <c r="S16" i="2"/>
  <c r="R16" i="2"/>
  <c r="T15" i="2"/>
  <c r="S15" i="2"/>
  <c r="R15" i="2"/>
  <c r="A28" i="11"/>
  <c r="B28" i="11"/>
  <c r="C28" i="11"/>
  <c r="D28" i="11"/>
  <c r="E28" i="11"/>
  <c r="F28" i="11"/>
  <c r="A29" i="11"/>
  <c r="B29" i="11"/>
  <c r="C29" i="11"/>
  <c r="D29" i="11"/>
  <c r="E29" i="11"/>
  <c r="F29" i="11"/>
  <c r="A30" i="11"/>
  <c r="B30" i="11"/>
  <c r="C30" i="11"/>
  <c r="D30" i="11"/>
  <c r="E30" i="11"/>
  <c r="F30" i="11"/>
  <c r="A31" i="11"/>
  <c r="B31" i="11"/>
  <c r="C31" i="11"/>
  <c r="D31" i="11"/>
  <c r="E31" i="11"/>
  <c r="F31" i="11"/>
  <c r="A32" i="11"/>
  <c r="B32" i="11"/>
  <c r="C32" i="11"/>
  <c r="D32" i="11"/>
  <c r="E32" i="11"/>
  <c r="F32" i="11"/>
  <c r="A33" i="11"/>
  <c r="B33" i="11"/>
  <c r="C33" i="11"/>
  <c r="D33" i="11"/>
  <c r="E33" i="11"/>
  <c r="F33" i="11"/>
  <c r="A34" i="11"/>
  <c r="B34" i="11"/>
  <c r="C34" i="11"/>
  <c r="D34" i="11"/>
  <c r="E34" i="11"/>
  <c r="F34" i="11"/>
  <c r="A35" i="11"/>
  <c r="B35" i="11"/>
  <c r="C35" i="11"/>
  <c r="D35" i="11"/>
  <c r="E35" i="11"/>
  <c r="F35" i="11"/>
  <c r="A36" i="11"/>
  <c r="B36" i="11"/>
  <c r="C36" i="11"/>
  <c r="D36" i="11"/>
  <c r="E36" i="11"/>
  <c r="F36" i="11"/>
  <c r="A37" i="11"/>
  <c r="B37" i="11"/>
  <c r="C37" i="11"/>
  <c r="D37" i="11"/>
  <c r="E37" i="11"/>
  <c r="F37" i="11"/>
  <c r="A38" i="11"/>
  <c r="B38" i="11"/>
  <c r="C38" i="11"/>
  <c r="D38" i="11"/>
  <c r="E38" i="11"/>
  <c r="F38" i="11"/>
  <c r="A39" i="11"/>
  <c r="B39" i="11"/>
  <c r="C39" i="11"/>
  <c r="D39" i="11"/>
  <c r="E39" i="11"/>
  <c r="F39" i="11"/>
  <c r="A40" i="11"/>
  <c r="B40" i="11"/>
  <c r="C40" i="11"/>
  <c r="D40" i="11"/>
  <c r="E40" i="11"/>
  <c r="F40" i="11"/>
  <c r="A41" i="11"/>
  <c r="B41" i="11"/>
  <c r="C41" i="11"/>
  <c r="D41" i="11"/>
  <c r="E41" i="11"/>
  <c r="F41" i="11"/>
  <c r="A42" i="11"/>
  <c r="B42" i="11"/>
  <c r="C42" i="11"/>
  <c r="D42" i="11"/>
  <c r="E42" i="11"/>
  <c r="F42" i="11"/>
  <c r="A43" i="11"/>
  <c r="B43" i="11"/>
  <c r="C43" i="11"/>
  <c r="D43" i="11"/>
  <c r="E43" i="11"/>
  <c r="F43" i="11"/>
  <c r="A44" i="11"/>
  <c r="B44" i="11"/>
  <c r="C44" i="11"/>
  <c r="D44" i="11"/>
  <c r="E44" i="11"/>
  <c r="F44" i="11"/>
  <c r="A45" i="11"/>
  <c r="B45" i="11"/>
  <c r="C45" i="11"/>
  <c r="D45" i="11"/>
  <c r="E45" i="11"/>
  <c r="F45" i="11"/>
  <c r="A46" i="11"/>
  <c r="B46" i="11"/>
  <c r="C46" i="11"/>
  <c r="D46" i="11"/>
  <c r="E46" i="11"/>
  <c r="F46" i="11"/>
  <c r="A15" i="11"/>
  <c r="B15" i="11"/>
  <c r="C15" i="11"/>
  <c r="F15" i="11"/>
  <c r="G15" i="11"/>
  <c r="H15" i="11"/>
  <c r="I15" i="11" s="1"/>
  <c r="A16" i="11"/>
  <c r="B16" i="11"/>
  <c r="C16" i="11"/>
  <c r="F16" i="11"/>
  <c r="G16" i="11"/>
  <c r="H16" i="11"/>
  <c r="I16" i="11" s="1"/>
  <c r="A17" i="11"/>
  <c r="B17" i="11"/>
  <c r="C17" i="11"/>
  <c r="F17" i="11"/>
  <c r="G17" i="11"/>
  <c r="H17" i="11"/>
  <c r="I17" i="11" s="1"/>
  <c r="A18" i="11"/>
  <c r="B18" i="11"/>
  <c r="C18" i="11"/>
  <c r="F18" i="11"/>
  <c r="G18" i="11"/>
  <c r="H18" i="11"/>
  <c r="I18" i="11" s="1"/>
  <c r="A19" i="11"/>
  <c r="B19" i="11"/>
  <c r="C19" i="11"/>
  <c r="F19" i="11"/>
  <c r="G19" i="11"/>
  <c r="H19" i="11"/>
  <c r="I19" i="11" s="1"/>
  <c r="A20" i="11"/>
  <c r="B20" i="11"/>
  <c r="C20" i="11"/>
  <c r="F20" i="11"/>
  <c r="G20" i="11"/>
  <c r="H20" i="11"/>
  <c r="I20" i="11" s="1"/>
  <c r="A21" i="11"/>
  <c r="B21" i="11"/>
  <c r="C21" i="11"/>
  <c r="F21" i="11"/>
  <c r="G21" i="11"/>
  <c r="H21" i="11"/>
  <c r="I21" i="11" s="1"/>
  <c r="A22" i="11"/>
  <c r="B22" i="11"/>
  <c r="C22" i="11"/>
  <c r="F22" i="11"/>
  <c r="G22" i="11"/>
  <c r="H22" i="11"/>
  <c r="I22" i="11" s="1"/>
  <c r="A23" i="11"/>
  <c r="B23" i="11"/>
  <c r="C23" i="11"/>
  <c r="F23" i="11"/>
  <c r="G23" i="11"/>
  <c r="H23" i="11"/>
  <c r="I23" i="11" s="1"/>
  <c r="A24" i="11"/>
  <c r="B24" i="11"/>
  <c r="C24" i="11"/>
  <c r="F24" i="11"/>
  <c r="G24" i="11"/>
  <c r="H24" i="11"/>
  <c r="I24" i="11" s="1"/>
  <c r="B5" i="11"/>
  <c r="B11" i="11"/>
  <c r="K4" i="10"/>
  <c r="K6" i="10" s="1"/>
  <c r="K7" i="10"/>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T309" i="2"/>
  <c r="S309" i="2"/>
  <c r="R309" i="2"/>
  <c r="T308" i="2"/>
  <c r="S308" i="2"/>
  <c r="R308" i="2"/>
  <c r="T307" i="2"/>
  <c r="S307" i="2"/>
  <c r="R307" i="2"/>
  <c r="T306" i="2"/>
  <c r="S306" i="2"/>
  <c r="R306" i="2"/>
  <c r="T305" i="2"/>
  <c r="S305" i="2"/>
  <c r="R305" i="2"/>
  <c r="T304" i="2"/>
  <c r="S304" i="2"/>
  <c r="R304" i="2"/>
  <c r="T303" i="2"/>
  <c r="S303" i="2"/>
  <c r="R303" i="2"/>
  <c r="T302" i="2"/>
  <c r="S302" i="2"/>
  <c r="R302" i="2"/>
  <c r="T301" i="2"/>
  <c r="S301" i="2"/>
  <c r="R301" i="2"/>
  <c r="T300" i="2"/>
  <c r="S300" i="2"/>
  <c r="R300" i="2"/>
  <c r="T299" i="2"/>
  <c r="S299" i="2"/>
  <c r="R299" i="2"/>
  <c r="T298" i="2"/>
  <c r="S298" i="2"/>
  <c r="R298" i="2"/>
  <c r="T297" i="2"/>
  <c r="S297" i="2"/>
  <c r="R297" i="2"/>
  <c r="T296" i="2"/>
  <c r="S296" i="2"/>
  <c r="R296" i="2"/>
  <c r="T295" i="2"/>
  <c r="S295" i="2"/>
  <c r="R295" i="2"/>
  <c r="T294" i="2"/>
  <c r="S294" i="2"/>
  <c r="R294" i="2"/>
  <c r="T293" i="2"/>
  <c r="S293" i="2"/>
  <c r="R293" i="2"/>
  <c r="T292" i="2"/>
  <c r="S292" i="2"/>
  <c r="R292" i="2"/>
  <c r="T291" i="2"/>
  <c r="S291" i="2"/>
  <c r="R291" i="2"/>
  <c r="T290" i="2"/>
  <c r="S290" i="2"/>
  <c r="R290" i="2"/>
  <c r="T289" i="2"/>
  <c r="S289" i="2"/>
  <c r="R289" i="2"/>
  <c r="T288" i="2"/>
  <c r="S288" i="2"/>
  <c r="R288" i="2"/>
  <c r="T287" i="2"/>
  <c r="S287" i="2"/>
  <c r="R287" i="2"/>
  <c r="T286" i="2"/>
  <c r="S286" i="2"/>
  <c r="R286" i="2"/>
  <c r="T285" i="2"/>
  <c r="S285" i="2"/>
  <c r="R285" i="2"/>
  <c r="T284" i="2"/>
  <c r="S284" i="2"/>
  <c r="R284" i="2"/>
  <c r="T283" i="2"/>
  <c r="S283" i="2"/>
  <c r="R283" i="2"/>
  <c r="T282" i="2"/>
  <c r="S282" i="2"/>
  <c r="R282" i="2"/>
  <c r="T281" i="2"/>
  <c r="S281" i="2"/>
  <c r="R281" i="2"/>
  <c r="T280" i="2"/>
  <c r="S280" i="2"/>
  <c r="R280" i="2"/>
  <c r="T279" i="2"/>
  <c r="S279" i="2"/>
  <c r="R279" i="2"/>
  <c r="T278" i="2"/>
  <c r="S278" i="2"/>
  <c r="R278" i="2"/>
  <c r="T277" i="2"/>
  <c r="S277" i="2"/>
  <c r="R277" i="2"/>
  <c r="T276" i="2"/>
  <c r="S276" i="2"/>
  <c r="R276" i="2"/>
  <c r="T275" i="2"/>
  <c r="S275" i="2"/>
  <c r="R275" i="2"/>
  <c r="T274" i="2"/>
  <c r="S274" i="2"/>
  <c r="R274" i="2"/>
  <c r="T273" i="2"/>
  <c r="S273" i="2"/>
  <c r="R273" i="2"/>
  <c r="T272" i="2"/>
  <c r="S272" i="2"/>
  <c r="R272" i="2"/>
  <c r="T271" i="2"/>
  <c r="S271" i="2"/>
  <c r="R271" i="2"/>
  <c r="T270" i="2"/>
  <c r="S270" i="2"/>
  <c r="R270" i="2"/>
  <c r="T269" i="2"/>
  <c r="S269" i="2"/>
  <c r="R269" i="2"/>
  <c r="T268" i="2"/>
  <c r="S268" i="2"/>
  <c r="R268" i="2"/>
  <c r="T267" i="2"/>
  <c r="S267" i="2"/>
  <c r="R267" i="2"/>
  <c r="T266" i="2"/>
  <c r="S266" i="2"/>
  <c r="R266" i="2"/>
  <c r="T265" i="2"/>
  <c r="S265" i="2"/>
  <c r="R265" i="2"/>
  <c r="T264" i="2"/>
  <c r="S264" i="2"/>
  <c r="R264" i="2"/>
  <c r="T263" i="2"/>
  <c r="S263" i="2"/>
  <c r="R263" i="2"/>
  <c r="T262" i="2"/>
  <c r="S262" i="2"/>
  <c r="R262" i="2"/>
  <c r="T261" i="2"/>
  <c r="S261" i="2"/>
  <c r="R261" i="2"/>
  <c r="T260" i="2"/>
  <c r="S260" i="2"/>
  <c r="R260" i="2"/>
  <c r="T259" i="2"/>
  <c r="S259" i="2"/>
  <c r="R259" i="2"/>
  <c r="T258" i="2"/>
  <c r="S258" i="2"/>
  <c r="R258" i="2"/>
  <c r="T257" i="2"/>
  <c r="S257" i="2"/>
  <c r="R257" i="2"/>
  <c r="T256" i="2"/>
  <c r="S256" i="2"/>
  <c r="R256" i="2"/>
  <c r="T255" i="2"/>
  <c r="S255" i="2"/>
  <c r="R255" i="2"/>
  <c r="T254" i="2"/>
  <c r="S254" i="2"/>
  <c r="R254" i="2"/>
  <c r="T253" i="2"/>
  <c r="S253" i="2"/>
  <c r="R253" i="2"/>
  <c r="T252" i="2"/>
  <c r="S252" i="2"/>
  <c r="R252" i="2"/>
  <c r="T251" i="2"/>
  <c r="S251" i="2"/>
  <c r="R251" i="2"/>
  <c r="T250" i="2"/>
  <c r="S250" i="2"/>
  <c r="R250" i="2"/>
  <c r="T249" i="2"/>
  <c r="S249" i="2"/>
  <c r="R249" i="2"/>
  <c r="T248" i="2"/>
  <c r="S248" i="2"/>
  <c r="R248" i="2"/>
  <c r="T247" i="2"/>
  <c r="S247" i="2"/>
  <c r="R247" i="2"/>
  <c r="T246" i="2"/>
  <c r="S246" i="2"/>
  <c r="R246" i="2"/>
  <c r="T245" i="2"/>
  <c r="S245" i="2"/>
  <c r="R245" i="2"/>
  <c r="T244" i="2"/>
  <c r="S244" i="2"/>
  <c r="R244" i="2"/>
  <c r="T243" i="2"/>
  <c r="S243" i="2"/>
  <c r="R243" i="2"/>
  <c r="T242" i="2"/>
  <c r="S242" i="2"/>
  <c r="R242" i="2"/>
  <c r="T241" i="2"/>
  <c r="S241" i="2"/>
  <c r="R241" i="2"/>
  <c r="T240" i="2"/>
  <c r="S240" i="2"/>
  <c r="R240" i="2"/>
  <c r="T239" i="2"/>
  <c r="S239" i="2"/>
  <c r="R239" i="2"/>
  <c r="T238" i="2"/>
  <c r="S238" i="2"/>
  <c r="R238" i="2"/>
  <c r="T237" i="2"/>
  <c r="S237" i="2"/>
  <c r="R237" i="2"/>
  <c r="T236" i="2"/>
  <c r="S236" i="2"/>
  <c r="R236" i="2"/>
  <c r="T235" i="2"/>
  <c r="S235" i="2"/>
  <c r="R235" i="2"/>
  <c r="T234" i="2"/>
  <c r="S234" i="2"/>
  <c r="R234" i="2"/>
  <c r="T233" i="2"/>
  <c r="S233" i="2"/>
  <c r="R233" i="2"/>
  <c r="T232" i="2"/>
  <c r="S232" i="2"/>
  <c r="R232" i="2"/>
  <c r="T231" i="2"/>
  <c r="S231" i="2"/>
  <c r="R231" i="2"/>
  <c r="T230" i="2"/>
  <c r="S230" i="2"/>
  <c r="R230" i="2"/>
  <c r="T229" i="2"/>
  <c r="S229" i="2"/>
  <c r="R229" i="2"/>
  <c r="T228" i="2"/>
  <c r="S228" i="2"/>
  <c r="R228" i="2"/>
  <c r="T227" i="2"/>
  <c r="S227" i="2"/>
  <c r="R227" i="2"/>
  <c r="T226" i="2"/>
  <c r="S226" i="2"/>
  <c r="R226" i="2"/>
  <c r="T225" i="2"/>
  <c r="S225" i="2"/>
  <c r="R225" i="2"/>
  <c r="T224" i="2"/>
  <c r="S224" i="2"/>
  <c r="R224" i="2"/>
  <c r="T223" i="2"/>
  <c r="S223" i="2"/>
  <c r="R223" i="2"/>
  <c r="T222" i="2"/>
  <c r="S222" i="2"/>
  <c r="R222" i="2"/>
  <c r="T221" i="2"/>
  <c r="S221" i="2"/>
  <c r="R221" i="2"/>
  <c r="T220" i="2"/>
  <c r="S220" i="2"/>
  <c r="R220" i="2"/>
  <c r="T219" i="2"/>
  <c r="S219" i="2"/>
  <c r="R219" i="2"/>
  <c r="T218" i="2"/>
  <c r="S218" i="2"/>
  <c r="R218" i="2"/>
  <c r="T217" i="2"/>
  <c r="S217" i="2"/>
  <c r="R217" i="2"/>
  <c r="T216" i="2"/>
  <c r="S216" i="2"/>
  <c r="R216" i="2"/>
  <c r="T215" i="2"/>
  <c r="S215" i="2"/>
  <c r="R215" i="2"/>
  <c r="T214" i="2"/>
  <c r="S214" i="2"/>
  <c r="R214" i="2"/>
  <c r="T213" i="2"/>
  <c r="S213" i="2"/>
  <c r="R213" i="2"/>
  <c r="T212" i="2"/>
  <c r="S212" i="2"/>
  <c r="R212" i="2"/>
  <c r="T211" i="2"/>
  <c r="S211" i="2"/>
  <c r="R211" i="2"/>
  <c r="T210" i="2"/>
  <c r="S210" i="2"/>
  <c r="R210" i="2"/>
  <c r="T209" i="2"/>
  <c r="S209" i="2"/>
  <c r="R209" i="2"/>
  <c r="T208" i="2"/>
  <c r="S208" i="2"/>
  <c r="R208" i="2"/>
  <c r="T207" i="2"/>
  <c r="S207" i="2"/>
  <c r="R207" i="2"/>
  <c r="T206" i="2"/>
  <c r="S206" i="2"/>
  <c r="R206" i="2"/>
  <c r="T205" i="2"/>
  <c r="S205" i="2"/>
  <c r="R205" i="2"/>
  <c r="T204" i="2"/>
  <c r="S204" i="2"/>
  <c r="R204" i="2"/>
  <c r="T203" i="2"/>
  <c r="S203" i="2"/>
  <c r="R203" i="2"/>
  <c r="T202" i="2"/>
  <c r="S202" i="2"/>
  <c r="R202" i="2"/>
  <c r="T201" i="2"/>
  <c r="S201" i="2"/>
  <c r="R201" i="2"/>
  <c r="T200" i="2"/>
  <c r="S200" i="2"/>
  <c r="R200" i="2"/>
  <c r="T199" i="2"/>
  <c r="S199" i="2"/>
  <c r="R199" i="2"/>
  <c r="T198" i="2"/>
  <c r="S198" i="2"/>
  <c r="R198" i="2"/>
  <c r="T197" i="2"/>
  <c r="S197" i="2"/>
  <c r="R197" i="2"/>
  <c r="T196" i="2"/>
  <c r="S196" i="2"/>
  <c r="R196" i="2"/>
  <c r="T195" i="2"/>
  <c r="S195" i="2"/>
  <c r="R195" i="2"/>
  <c r="T194" i="2"/>
  <c r="S194" i="2"/>
  <c r="R194" i="2"/>
  <c r="T193" i="2"/>
  <c r="S193" i="2"/>
  <c r="R193" i="2"/>
  <c r="T192" i="2"/>
  <c r="S192" i="2"/>
  <c r="R192" i="2"/>
  <c r="T191" i="2"/>
  <c r="S191" i="2"/>
  <c r="R191" i="2"/>
  <c r="T190" i="2"/>
  <c r="S190" i="2"/>
  <c r="R190" i="2"/>
  <c r="T189" i="2"/>
  <c r="S189" i="2"/>
  <c r="R189" i="2"/>
  <c r="T188" i="2"/>
  <c r="S188" i="2"/>
  <c r="R188" i="2"/>
  <c r="T187" i="2"/>
  <c r="S187" i="2"/>
  <c r="R187" i="2"/>
  <c r="T186" i="2"/>
  <c r="S186" i="2"/>
  <c r="R186" i="2"/>
  <c r="T185" i="2"/>
  <c r="S185" i="2"/>
  <c r="R185" i="2"/>
  <c r="T184" i="2"/>
  <c r="S184" i="2"/>
  <c r="R184" i="2"/>
  <c r="T183" i="2"/>
  <c r="S183" i="2"/>
  <c r="R183" i="2"/>
  <c r="T182" i="2"/>
  <c r="S182" i="2"/>
  <c r="R182" i="2"/>
  <c r="T181" i="2"/>
  <c r="S181" i="2"/>
  <c r="R181" i="2"/>
  <c r="T180" i="2"/>
  <c r="S180" i="2"/>
  <c r="R180" i="2"/>
  <c r="T179" i="2"/>
  <c r="S179" i="2"/>
  <c r="R179" i="2"/>
  <c r="T178" i="2"/>
  <c r="S178" i="2"/>
  <c r="R178" i="2"/>
  <c r="T177" i="2"/>
  <c r="S177" i="2"/>
  <c r="R177" i="2"/>
  <c r="T176" i="2"/>
  <c r="S176" i="2"/>
  <c r="R176" i="2"/>
  <c r="T175" i="2"/>
  <c r="S175" i="2"/>
  <c r="R175" i="2"/>
  <c r="T174" i="2"/>
  <c r="S174" i="2"/>
  <c r="R174" i="2"/>
  <c r="T173" i="2"/>
  <c r="S173" i="2"/>
  <c r="R173" i="2"/>
  <c r="T172" i="2"/>
  <c r="S172" i="2"/>
  <c r="R172" i="2"/>
  <c r="T171" i="2"/>
  <c r="S171" i="2"/>
  <c r="R171" i="2"/>
  <c r="T170" i="2"/>
  <c r="S170" i="2"/>
  <c r="R170" i="2"/>
  <c r="T169" i="2"/>
  <c r="S169" i="2"/>
  <c r="R169" i="2"/>
  <c r="T168" i="2"/>
  <c r="S168" i="2"/>
  <c r="R168" i="2"/>
  <c r="T167" i="2"/>
  <c r="S167" i="2"/>
  <c r="R167" i="2"/>
  <c r="T166" i="2"/>
  <c r="S166" i="2"/>
  <c r="R166" i="2"/>
  <c r="T165" i="2"/>
  <c r="S165" i="2"/>
  <c r="R165" i="2"/>
  <c r="T164" i="2"/>
  <c r="S164" i="2"/>
  <c r="R164" i="2"/>
  <c r="T163" i="2"/>
  <c r="S163" i="2"/>
  <c r="R163" i="2"/>
  <c r="T162" i="2"/>
  <c r="S162" i="2"/>
  <c r="R162" i="2"/>
  <c r="T161" i="2"/>
  <c r="S161" i="2"/>
  <c r="R161" i="2"/>
  <c r="T160" i="2"/>
  <c r="S160" i="2"/>
  <c r="R160" i="2"/>
  <c r="T159" i="2"/>
  <c r="S159" i="2"/>
  <c r="R159" i="2"/>
  <c r="T158" i="2"/>
  <c r="S158" i="2"/>
  <c r="R158" i="2"/>
  <c r="T157" i="2"/>
  <c r="S157" i="2"/>
  <c r="R157" i="2"/>
  <c r="T156" i="2"/>
  <c r="S156" i="2"/>
  <c r="R156" i="2"/>
  <c r="T155" i="2"/>
  <c r="S155" i="2"/>
  <c r="R155" i="2"/>
  <c r="T154" i="2"/>
  <c r="S154" i="2"/>
  <c r="R154" i="2"/>
  <c r="T153" i="2"/>
  <c r="S153" i="2"/>
  <c r="R153" i="2"/>
  <c r="T152" i="2"/>
  <c r="S152" i="2"/>
  <c r="R152" i="2"/>
  <c r="T151" i="2"/>
  <c r="S151" i="2"/>
  <c r="R151" i="2"/>
  <c r="T150" i="2"/>
  <c r="S150" i="2"/>
  <c r="R150" i="2"/>
  <c r="T149" i="2"/>
  <c r="S149" i="2"/>
  <c r="R149" i="2"/>
  <c r="T148" i="2"/>
  <c r="S148" i="2"/>
  <c r="R148" i="2"/>
  <c r="T147" i="2"/>
  <c r="S147" i="2"/>
  <c r="R147" i="2"/>
  <c r="T146" i="2"/>
  <c r="S146" i="2"/>
  <c r="R146" i="2"/>
  <c r="T145" i="2"/>
  <c r="S145" i="2"/>
  <c r="R145" i="2"/>
  <c r="T144" i="2"/>
  <c r="S144" i="2"/>
  <c r="R144" i="2"/>
  <c r="T143" i="2"/>
  <c r="S143" i="2"/>
  <c r="R143" i="2"/>
  <c r="T142" i="2"/>
  <c r="S142" i="2"/>
  <c r="R142" i="2"/>
  <c r="T141" i="2"/>
  <c r="S141" i="2"/>
  <c r="R141" i="2"/>
  <c r="T140" i="2"/>
  <c r="S140" i="2"/>
  <c r="R140" i="2"/>
  <c r="T139" i="2"/>
  <c r="S139" i="2"/>
  <c r="R139" i="2"/>
  <c r="T138" i="2"/>
  <c r="S138" i="2"/>
  <c r="R138" i="2"/>
  <c r="T137" i="2"/>
  <c r="S137" i="2"/>
  <c r="R137" i="2"/>
  <c r="T136" i="2"/>
  <c r="S136" i="2"/>
  <c r="R136" i="2"/>
  <c r="T135" i="2"/>
  <c r="S135" i="2"/>
  <c r="R135" i="2"/>
  <c r="T134" i="2"/>
  <c r="S134" i="2"/>
  <c r="R134" i="2"/>
  <c r="T133" i="2"/>
  <c r="S133" i="2"/>
  <c r="R133" i="2"/>
  <c r="T132" i="2"/>
  <c r="S132" i="2"/>
  <c r="R132" i="2"/>
  <c r="T131" i="2"/>
  <c r="S131" i="2"/>
  <c r="R131" i="2"/>
  <c r="T130" i="2"/>
  <c r="S130" i="2"/>
  <c r="R130" i="2"/>
  <c r="T129" i="2"/>
  <c r="S129" i="2"/>
  <c r="R129" i="2"/>
  <c r="T128" i="2"/>
  <c r="S128" i="2"/>
  <c r="R128" i="2"/>
  <c r="T127" i="2"/>
  <c r="S127" i="2"/>
  <c r="R127" i="2"/>
  <c r="T126" i="2"/>
  <c r="S126" i="2"/>
  <c r="R126" i="2"/>
  <c r="T125" i="2"/>
  <c r="S125" i="2"/>
  <c r="R125" i="2"/>
  <c r="T124" i="2"/>
  <c r="S124" i="2"/>
  <c r="R124" i="2"/>
  <c r="T123" i="2"/>
  <c r="S123" i="2"/>
  <c r="R123" i="2"/>
  <c r="T122" i="2"/>
  <c r="S122" i="2"/>
  <c r="R122" i="2"/>
  <c r="T121" i="2"/>
  <c r="S121" i="2"/>
  <c r="R121" i="2"/>
  <c r="T120" i="2"/>
  <c r="S120" i="2"/>
  <c r="R120" i="2"/>
  <c r="T119" i="2"/>
  <c r="S119" i="2"/>
  <c r="R119" i="2"/>
  <c r="T118" i="2"/>
  <c r="S118" i="2"/>
  <c r="R118" i="2"/>
  <c r="T117" i="2"/>
  <c r="S117" i="2"/>
  <c r="R117" i="2"/>
  <c r="T116" i="2"/>
  <c r="S116" i="2"/>
  <c r="R116" i="2"/>
  <c r="T115" i="2"/>
  <c r="S115" i="2"/>
  <c r="R115" i="2"/>
  <c r="T114" i="2"/>
  <c r="S114" i="2"/>
  <c r="R114" i="2"/>
  <c r="T113" i="2"/>
  <c r="S113" i="2"/>
  <c r="R113" i="2"/>
  <c r="T112" i="2"/>
  <c r="S112" i="2"/>
  <c r="R112" i="2"/>
  <c r="T111" i="2"/>
  <c r="S111" i="2"/>
  <c r="R111" i="2"/>
  <c r="T110" i="2"/>
  <c r="S110" i="2"/>
  <c r="R110" i="2"/>
  <c r="T109" i="2"/>
  <c r="S109" i="2"/>
  <c r="R109" i="2"/>
  <c r="T108" i="2"/>
  <c r="S108" i="2"/>
  <c r="R108" i="2"/>
  <c r="T107" i="2"/>
  <c r="S107" i="2"/>
  <c r="R107" i="2"/>
  <c r="T106" i="2"/>
  <c r="S106" i="2"/>
  <c r="R106" i="2"/>
  <c r="T105" i="2"/>
  <c r="S105" i="2"/>
  <c r="R105" i="2"/>
  <c r="T104" i="2"/>
  <c r="S104" i="2"/>
  <c r="R104" i="2"/>
  <c r="T103" i="2"/>
  <c r="S103" i="2"/>
  <c r="R103" i="2"/>
  <c r="T102" i="2"/>
  <c r="S102" i="2"/>
  <c r="R102" i="2"/>
  <c r="T101" i="2"/>
  <c r="S101" i="2"/>
  <c r="R101" i="2"/>
  <c r="T100" i="2"/>
  <c r="S100" i="2"/>
  <c r="R100" i="2"/>
  <c r="T99" i="2"/>
  <c r="S99" i="2"/>
  <c r="R99" i="2"/>
  <c r="T98" i="2"/>
  <c r="S98" i="2"/>
  <c r="R98" i="2"/>
  <c r="T97" i="2"/>
  <c r="S97" i="2"/>
  <c r="R97" i="2"/>
  <c r="T96" i="2"/>
  <c r="S96" i="2"/>
  <c r="R96" i="2"/>
  <c r="T95" i="2"/>
  <c r="S95" i="2"/>
  <c r="R95" i="2"/>
  <c r="T94" i="2"/>
  <c r="S94" i="2"/>
  <c r="R94" i="2"/>
  <c r="T93" i="2"/>
  <c r="S93" i="2"/>
  <c r="R93" i="2"/>
  <c r="T92" i="2"/>
  <c r="S92" i="2"/>
  <c r="R92" i="2"/>
  <c r="T91" i="2"/>
  <c r="S91" i="2"/>
  <c r="R91" i="2"/>
  <c r="T90" i="2"/>
  <c r="S90" i="2"/>
  <c r="R90" i="2"/>
  <c r="T89" i="2"/>
  <c r="S89" i="2"/>
  <c r="R89" i="2"/>
  <c r="T88" i="2"/>
  <c r="S88" i="2"/>
  <c r="R88" i="2"/>
  <c r="T87" i="2"/>
  <c r="S87" i="2"/>
  <c r="R87" i="2"/>
  <c r="T86" i="2"/>
  <c r="S86" i="2"/>
  <c r="R86" i="2"/>
  <c r="T85" i="2"/>
  <c r="S85" i="2"/>
  <c r="R85" i="2"/>
  <c r="T84" i="2"/>
  <c r="S84" i="2"/>
  <c r="R84" i="2"/>
  <c r="T83" i="2"/>
  <c r="S83" i="2"/>
  <c r="R83" i="2"/>
  <c r="T82" i="2"/>
  <c r="S82" i="2"/>
  <c r="R82" i="2"/>
  <c r="T81" i="2"/>
  <c r="S81" i="2"/>
  <c r="R81" i="2"/>
  <c r="T80" i="2"/>
  <c r="S80" i="2"/>
  <c r="R80" i="2"/>
  <c r="T79" i="2"/>
  <c r="S79" i="2"/>
  <c r="R79" i="2"/>
  <c r="T78" i="2"/>
  <c r="S78" i="2"/>
  <c r="R78" i="2"/>
  <c r="T77" i="2"/>
  <c r="S77" i="2"/>
  <c r="R77" i="2"/>
  <c r="T76" i="2"/>
  <c r="S76" i="2"/>
  <c r="R76" i="2"/>
  <c r="T75" i="2"/>
  <c r="S75" i="2"/>
  <c r="R75" i="2"/>
  <c r="T74" i="2"/>
  <c r="S74" i="2"/>
  <c r="R74" i="2"/>
  <c r="T73" i="2"/>
  <c r="S73" i="2"/>
  <c r="R73" i="2"/>
  <c r="T72" i="2"/>
  <c r="S72" i="2"/>
  <c r="R72" i="2"/>
  <c r="T71" i="2"/>
  <c r="S71" i="2"/>
  <c r="R71" i="2"/>
  <c r="T70" i="2"/>
  <c r="S70" i="2"/>
  <c r="R70" i="2"/>
  <c r="T69" i="2"/>
  <c r="S69" i="2"/>
  <c r="R69" i="2"/>
  <c r="T68" i="2"/>
  <c r="S68" i="2"/>
  <c r="R68" i="2"/>
  <c r="T67" i="2"/>
  <c r="S67" i="2"/>
  <c r="R67" i="2"/>
  <c r="T66" i="2"/>
  <c r="S66" i="2"/>
  <c r="R66" i="2"/>
  <c r="T65" i="2"/>
  <c r="S65" i="2"/>
  <c r="R65" i="2"/>
  <c r="S14" i="2"/>
  <c r="E24" i="11" s="1"/>
  <c r="R14" i="2"/>
  <c r="S13" i="2"/>
  <c r="E23" i="11" s="1"/>
  <c r="R13" i="2"/>
  <c r="S12" i="2"/>
  <c r="E22" i="11" s="1"/>
  <c r="R12" i="2"/>
  <c r="S11" i="2"/>
  <c r="E21" i="11" s="1"/>
  <c r="R11" i="2"/>
  <c r="S10" i="2"/>
  <c r="E20" i="11" s="1"/>
  <c r="R10" i="2"/>
  <c r="S9" i="2"/>
  <c r="E19" i="11" s="1"/>
  <c r="R9" i="2"/>
  <c r="S8" i="2"/>
  <c r="E18" i="11" s="1"/>
  <c r="R8" i="2"/>
  <c r="S7" i="2"/>
  <c r="E17" i="11" s="1"/>
  <c r="R7" i="2"/>
  <c r="S6" i="2"/>
  <c r="E16" i="11" s="1"/>
  <c r="R6" i="2"/>
  <c r="S5" i="2"/>
  <c r="R5" i="2"/>
  <c r="T14" i="2" l="1"/>
  <c r="D24" i="11"/>
  <c r="T13" i="2"/>
  <c r="D23" i="11"/>
  <c r="T12" i="2"/>
  <c r="D22" i="11"/>
  <c r="T5" i="2"/>
  <c r="D15" i="11"/>
  <c r="E15" i="11"/>
  <c r="T11" i="2"/>
  <c r="D21" i="11"/>
  <c r="D20" i="11"/>
  <c r="T10" i="2"/>
  <c r="T9" i="2"/>
  <c r="D19" i="11"/>
  <c r="T8" i="2"/>
  <c r="D18" i="11"/>
  <c r="T7" i="2"/>
  <c r="D17" i="11"/>
  <c r="T6" i="2"/>
  <c r="D16"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<sst xmlns="http://schemas.openxmlformats.org/spreadsheetml/2006/main" count="6691" uniqueCount="2193">
  <si>
    <t>Standard Parts Master for Pressure Vessels &amp; Heat Exchangers</t>
  </si>
  <si>
    <t>Document control</t>
  </si>
  <si>
    <t>Prepared by</t>
  </si>
  <si>
    <t>Checked by (Production Head)</t>
  </si>
  <si>
    <t>Date</t>
  </si>
  <si>
    <t>Why we need this</t>
  </si>
  <si>
    <t>Every job's BOM is different, but the parts it is made of repeat. This master is the list of all standard parts and how each one is made. When a new job is created, parts will be selected from this list and job-specific sizes and quantities entered. The tracker then creates the production steps for each part, tracks them department-wise, rolls progress up to the equipment stages and calculates weights.</t>
  </si>
  <si>
    <t>Sheets</t>
  </si>
  <si>
    <t>Parts Master</t>
  </si>
  <si>
    <t>One row per standard part: equipment, group, make/buy, raw material, MOC, dimensions to enter, weight basis, spare, who filled/checked it, status.</t>
  </si>
  <si>
    <t>Part Routes</t>
  </si>
  <si>
    <t>One row per manufacturing step: operation, department, the equipment stage it counts toward, standard time, conditions, acceptance standard, record.</t>
  </si>
  <si>
    <t>Assembly Sequence</t>
  </si>
  <si>
    <t>How parts are joined into sub-assemblies and the complete equipment, with weld joint references.</t>
  </si>
  <si>
    <t>New Operations</t>
  </si>
  <si>
    <t>Steps that do not fit any operation in the fixed list, with the reason.</t>
  </si>
  <si>
    <t>HE Stages</t>
  </si>
  <si>
    <t>Whole-equipment stages for heat exchangers, with durations and predecessors.</t>
  </si>
  <si>
    <t>PV Stages (ref)</t>
  </si>
  <si>
    <t>The 36 PV stages already used in the tracker, for reference only.</t>
  </si>
  <si>
    <t>Material Master</t>
  </si>
  <si>
    <t>Density for every material.</t>
  </si>
  <si>
    <t>How to fill</t>
  </si>
  <si>
    <t>1</t>
  </si>
  <si>
    <t>Start with these 10 pilot parts: Shell Course, Dished End, Nozzle Neck, Nozzle Flange, Tube Sheet, Tube, Baffle, Saddle, Stud with Two Nuts, Gasket. Send the file back so we can review it together before the full list.</t>
  </si>
  <si>
    <t>2</t>
  </si>
  <si>
    <t>Fill 'HE Stages' first. Part Routes and Assembly Sequence need its stage numbers.</t>
  </si>
  <si>
    <t>3</t>
  </si>
  <si>
    <t>Use only the operations in the dropdown. If a step does not fit, add it to 'New Operations'. Please don't rename an existing operation.</t>
  </si>
  <si>
    <t>4</t>
  </si>
  <si>
    <t>Number steps 10, 20, 30… so steps can be inserted later without renumbering.</t>
  </si>
  <si>
    <t>5</t>
  </si>
  <si>
    <t>For every step, fill the stage number it counts toward: PV stage, HE stage, or both if the part is used in both.</t>
  </si>
  <si>
    <t>6</t>
  </si>
  <si>
    <t>If a part can be made in more than one way, give each way a variant letter (A, B) and list the steps for each.</t>
  </si>
  <si>
    <t>7</t>
  </si>
  <si>
    <t>If a step applies only sometimes, set Conditional = Yes and write the rule.</t>
  </si>
  <si>
    <t>8</t>
  </si>
  <si>
    <t>Give standard time for every step with its unit and basis (per piece, per metre of weld, per tube…).</t>
  </si>
  <si>
    <t>9</t>
  </si>
  <si>
    <t>Set 'Route Source' honestly. 'Assumed – to be confirmed' is allowed, but those parts cannot be approved until confirmed.</t>
  </si>
  <si>
    <t>10</t>
  </si>
  <si>
    <t>Only parts with Status = 'Approved by Production Head' will be loaded into the tracker.</t>
  </si>
  <si>
    <t>Colour legend</t>
  </si>
  <si>
    <t>Grey rows</t>
  </si>
  <si>
    <t>Example only. Replace or delete once your data is in.</t>
  </si>
  <si>
    <t>Yellow cells</t>
  </si>
  <si>
    <t>To be filled by the team.</t>
  </si>
  <si>
    <t>Blue cells</t>
  </si>
  <si>
    <t>Filled automatically. Do not type here.</t>
  </si>
  <si>
    <t>Green rows</t>
  </si>
  <si>
    <t>Reference data from the tracker. Do not edit.</t>
  </si>
  <si>
    <t>One row per standard part. Part Code is your choice (suggested: 3-letter group + number). 'Filled by' and 'Checked by' must be real names; only parts with Status = 'Approved by Production Head' will be loaded into the tracker. The three blue columns check your entries automatically: 'Steps entered' must not be 0, and the other two should be 0 before approval.</t>
  </si>
  <si>
    <t>Example?</t>
  </si>
  <si>
    <t>Part Code</t>
  </si>
  <si>
    <t>Part Name</t>
  </si>
  <si>
    <t>Equipment</t>
  </si>
  <si>
    <t>Assembly Group</t>
  </si>
  <si>
    <t>Make / Buy</t>
  </si>
  <si>
    <t>Raw Material Form</t>
  </si>
  <si>
    <t>Typical MOC</t>
  </si>
  <si>
    <t>Dimensions to enter per job</t>
  </si>
  <si>
    <t>Weight Basis</t>
  </si>
  <si>
    <t>Route Variants
(A, B…)</t>
  </si>
  <si>
    <t>Also a Spare?</t>
  </si>
  <si>
    <t>Route Source</t>
  </si>
  <si>
    <t>Filled by</t>
  </si>
  <si>
    <t>Checked by</t>
  </si>
  <si>
    <t>Status</t>
  </si>
  <si>
    <t>Remarks</t>
  </si>
  <si>
    <t>Steps entered
(auto)</t>
  </si>
  <si>
    <t>Steps missing
stage no. (auto)</t>
  </si>
  <si>
    <t>Steps marked
'Assumed' (auto)</t>
  </si>
  <si>
    <t>SHL-01</t>
  </si>
  <si>
    <t>PV + HE</t>
  </si>
  <si>
    <t>Shell</t>
  </si>
  <si>
    <t>Made in-house</t>
  </si>
  <si>
    <t>Plate</t>
  </si>
  <si>
    <t>Rolled shell (ID, T, L)</t>
  </si>
  <si>
    <t>A</t>
  </si>
  <si>
    <t>No</t>
  </si>
  <si>
    <t>Current shop practice</t>
  </si>
  <si>
    <t>Draft</t>
  </si>
  <si>
    <t>NOZ-01</t>
  </si>
  <si>
    <t>Nozzle Neck</t>
  </si>
  <si>
    <t>Nozzles</t>
  </si>
  <si>
    <t>Pipe</t>
  </si>
  <si>
    <t>Pipe / Tube (OD, T, L)</t>
  </si>
  <si>
    <t>TSH-01</t>
  </si>
  <si>
    <t>Tube Sheet</t>
  </si>
  <si>
    <t>HE</t>
  </si>
  <si>
    <t>Tube Bundle</t>
  </si>
  <si>
    <t>Bought + machined in-house</t>
  </si>
  <si>
    <t>Forging</t>
  </si>
  <si>
    <t>Disc (OD, T)</t>
  </si>
  <si>
    <t>BAF-01</t>
  </si>
  <si>
    <t>Baffle</t>
  </si>
  <si>
    <t>Assumed – to be confirmed</t>
  </si>
  <si>
    <t>STD-01</t>
  </si>
  <si>
    <t>Stud with Two Nuts</t>
  </si>
  <si>
    <t>Bolting &amp; Gaskets</t>
  </si>
  <si>
    <t>Bought-out</t>
  </si>
  <si>
    <t>Standard item (catalogue)</t>
  </si>
  <si>
    <t>Catalogue weight (per piece)</t>
  </si>
  <si>
    <t>Yes</t>
  </si>
  <si>
    <t>One row per step, numbered 10, 20, 30… Use only operations from the dropdown; anything else goes in 'New Operations'. 'Counts toward Stage No.' is the whole-equipment stage this step belongs to (see 'PV Stages (ref)' and 'HE Stages'); fill both columns for parts used in PV and HE. If a part can be made in two ways, repeat its steps as Variant B. Hold points are not needed here; they come from each job's QAP.</t>
  </si>
  <si>
    <t>Part Name
(auto)</t>
  </si>
  <si>
    <t>Variant</t>
  </si>
  <si>
    <t>Seq</t>
  </si>
  <si>
    <t>Operation</t>
  </si>
  <si>
    <t>What is done in this step</t>
  </si>
  <si>
    <t>Department</t>
  </si>
  <si>
    <t>Counts toward
PV Stage No.</t>
  </si>
  <si>
    <t>Counts toward
HE Stage No.</t>
  </si>
  <si>
    <t>Std. Time</t>
  </si>
  <si>
    <t>Time Unit</t>
  </si>
  <si>
    <t>Time Basis</t>
  </si>
  <si>
    <t>Conditional?</t>
  </si>
  <si>
    <t>When does it apply?</t>
  </si>
  <si>
    <t>Acceptance Standard</t>
  </si>
  <si>
    <t>Record / Document</t>
  </si>
  <si>
    <t>Receipt</t>
  </si>
  <si>
    <t>Stores</t>
  </si>
  <si>
    <t>MTC Verification / Material Identification</t>
  </si>
  <si>
    <t>Quality Control / QA</t>
  </si>
  <si>
    <t>Cutting / Blanking</t>
  </si>
  <si>
    <t>Plate cut to developed size</t>
  </si>
  <si>
    <t>Fabrication Prep</t>
  </si>
  <si>
    <t>Edge Preparation / Beveling</t>
  </si>
  <si>
    <t>Rolling</t>
  </si>
  <si>
    <t>Fit-up</t>
  </si>
  <si>
    <t>Fabrication / Welding</t>
  </si>
  <si>
    <t>Fit-up report</t>
  </si>
  <si>
    <t>Welding</t>
  </si>
  <si>
    <t>NDT</t>
  </si>
  <si>
    <t>Inspection</t>
  </si>
  <si>
    <t>Machining</t>
  </si>
  <si>
    <t>Machine Shop</t>
  </si>
  <si>
    <t>MTC and vendor certificates reviewed</t>
  </si>
  <si>
    <t>Forming / Pressing / Dishing</t>
  </si>
  <si>
    <t>How parts are joined into sub-assemblies and then the complete equipment, in order, with weld joint references (LS-1, CS-2…) where applicable. One list per equipment type. The PV rows are real data from the DESPL-320 assembly sequence already in the tracker; the HE rows only show the format.</t>
  </si>
  <si>
    <t>Equipment Type</t>
  </si>
  <si>
    <t>Group Code</t>
  </si>
  <si>
    <t>Group Name</t>
  </si>
  <si>
    <t>Step No.</t>
  </si>
  <si>
    <t>Activity</t>
  </si>
  <si>
    <t>Kind</t>
  </si>
  <si>
    <t>Parts / Sub-assemblies used</t>
  </si>
  <si>
    <t>Result
(sub-assembly produced)</t>
  </si>
  <si>
    <t>Weld Joint Ref.</t>
  </si>
  <si>
    <t>Counts toward
Stage No.</t>
  </si>
  <si>
    <t>EXAMPLE (PV)</t>
  </si>
  <si>
    <t>Vertical PV (DESPL-320)</t>
  </si>
  <si>
    <t>E</t>
  </si>
  <si>
    <t>Shell Sub-Assembly (LS-1)</t>
  </si>
  <si>
    <t>4.5</t>
  </si>
  <si>
    <t>Shell Weld Edge Preparation</t>
  </si>
  <si>
    <t>Work</t>
  </si>
  <si>
    <t>From the PV assembly sequence already in the tracker</t>
  </si>
  <si>
    <t>L' Seam Set Up Of Shell (LS-1) Along With PTC</t>
  </si>
  <si>
    <t>Weld Long Seam Of Shell (LS-1)</t>
  </si>
  <si>
    <t>Shell (LS-1 welded)</t>
  </si>
  <si>
    <t>LS-1</t>
  </si>
  <si>
    <t>Weld Visual Of LS-1</t>
  </si>
  <si>
    <t>PAUT/TOFD Of LS-1</t>
  </si>
  <si>
    <t>G</t>
  </si>
  <si>
    <t>Shell + Bottom Head (CS-2)</t>
  </si>
  <si>
    <t>4.7</t>
  </si>
  <si>
    <t>Bottom Dished End To Shell Set Up (CS-2)</t>
  </si>
  <si>
    <t>Shell (LS-1 welded) + Bottom Dished End</t>
  </si>
  <si>
    <t>Shell + bottom head</t>
  </si>
  <si>
    <t>Weld Circ Seam Of Bottom Dishend To Shell (CS-2)</t>
  </si>
  <si>
    <t>CS-2</t>
  </si>
  <si>
    <t>Weld Visual Of CS-2</t>
  </si>
  <si>
    <t>PAUT/TOFD Of CS-2</t>
  </si>
  <si>
    <t>Only for steps that do not fit any operation in the dropdown. We will review these together before adding them to the tracker.</t>
  </si>
  <si>
    <t>Proposed Operation</t>
  </si>
  <si>
    <t>Used in (Part Codes)</t>
  </si>
  <si>
    <t>Why the existing list does not cover it</t>
  </si>
  <si>
    <t>HE Type</t>
  </si>
  <si>
    <t>Stage No.</t>
  </si>
  <si>
    <t>Stage Name</t>
  </si>
  <si>
    <t>Main Activities</t>
  </si>
  <si>
    <t>Duration Min
(days)</t>
  </si>
  <si>
    <t>Duration Max
(days)</t>
  </si>
  <si>
    <t>Predecessor Stage No(s).</t>
  </si>
  <si>
    <t>Link Type</t>
  </si>
  <si>
    <t>Lag / Overlap
(days)</t>
  </si>
  <si>
    <t>Optional?</t>
  </si>
  <si>
    <t>When is it optional?</t>
  </si>
  <si>
    <t>PO Receipt &amp; Order Review</t>
  </si>
  <si>
    <t>Projects / PMO</t>
  </si>
  <si>
    <t>—</t>
  </si>
  <si>
    <t>Finish-to-Start</t>
  </si>
  <si>
    <t>REFERENCE DATA FROM THE TRACKER (do not edit). Use it to fill stage numbers in other sheets.</t>
  </si>
  <si>
    <t>The 36-stage pressure vessel lead-time table currently in the tracker. Use the Stage No. here in the 'Counts toward PV Stage No.' column of Part Routes and in Assembly Sequence. If anything here is wrong, tell us rather than editing.</t>
  </si>
  <si>
    <t>Min Days</t>
  </si>
  <si>
    <t>Max Days</t>
  </si>
  <si>
    <t>Predecessor(s)</t>
  </si>
  <si>
    <t>PO review, scope, technical specification, drawings, delivery requirement, commercial conditions</t>
  </si>
  <si>
    <t>Kick-Off / Pre-Inspection Meeting</t>
  </si>
  <si>
    <t>Internal kick-off, client/PIM, QCP/ITP finalization, responsibility matrix</t>
  </si>
  <si>
    <t>Engineering - Design Calculation</t>
  </si>
  <si>
    <t>Design calculation, PV Elite analysis, nozzle calculation, flange/skirt/support calculation</t>
  </si>
  <si>
    <t>Design &amp; Detail Engineering</t>
  </si>
  <si>
    <t>Engineering - Manufacturing Drawings</t>
  </si>
  <si>
    <t>GA drawing, fabrication drawing, nozzle orientation, support details, weld details</t>
  </si>
  <si>
    <t>Client Drawing Approval</t>
  </si>
  <si>
    <t>Submission, review, comments, revision and approval</t>
  </si>
  <si>
    <t>BOM &amp; MTO Finalization</t>
  </si>
  <si>
    <t>BOM, raw-material requirement, cutting plan, bought-out items</t>
  </si>
  <si>
    <t>Planning / PPC</t>
  </si>
  <si>
    <t>Material Procurement - Plates</t>
  </si>
  <si>
    <t>RFQ, quotation, PO to mill/vendor, manufacturing, inspection, dispatch</t>
  </si>
  <si>
    <t>Procurement</t>
  </si>
  <si>
    <t>Material Procurement - Pipes/Forgings/Fittings</t>
  </si>
  <si>
    <t>Shell pipes, nozzles, flanges, forgings, fittings, etc.</t>
  </si>
  <si>
    <t>Bought-Out Items Procurement</t>
  </si>
  <si>
    <t>Gaskets, fasteners, valves, instruments, name plate, supports, etc.</t>
  </si>
  <si>
    <t>Material Receipt &amp; Incoming Inspection</t>
  </si>
  <si>
    <t>MTC review, PMI, dimensions, visual inspection, heat-number verification</t>
  </si>
  <si>
    <t>7, 8, 9</t>
  </si>
  <si>
    <t>Material Identification &amp; Traceability</t>
  </si>
  <si>
    <t>Heat-number transfer, marking, material identification report</t>
  </si>
  <si>
    <t>Cutting / Blanking / Petals</t>
  </si>
  <si>
    <t>Plate cutting, shell courses, dished-end blanks, nozzle blanks</t>
  </si>
  <si>
    <t>11</t>
  </si>
  <si>
    <t>Forming / Rolling / Dishing</t>
  </si>
  <si>
    <t>Shell rolling, dish-end forming, nozzle forming where applicable</t>
  </si>
  <si>
    <t>12</t>
  </si>
  <si>
    <t>Flange machining, dish-end machining, nozzle/flange machining</t>
  </si>
  <si>
    <t>Shell Fit-Up</t>
  </si>
  <si>
    <t>Shell course alignment, longitudinal seam fit-up, dimensional inspection</t>
  </si>
  <si>
    <t>13, 14</t>
  </si>
  <si>
    <t>Shell Welding</t>
  </si>
  <si>
    <t>Longitudinal/circumferential welding as per approved WPS</t>
  </si>
  <si>
    <t>15</t>
  </si>
  <si>
    <t>Weld NDE</t>
  </si>
  <si>
    <t>RT/UT/MT/PT as applicable</t>
  </si>
  <si>
    <t>16</t>
  </si>
  <si>
    <t>Head/Dish-End Assembly</t>
  </si>
  <si>
    <t>Fit-up, alignment, welding with shell</t>
  </si>
  <si>
    <t>17</t>
  </si>
  <si>
    <t>Nozzle Fabrication &amp; Fit-Up</t>
  </si>
  <si>
    <t>Nozzle preparation, orientation, elevation, projection, reinforcement pads</t>
  </si>
  <si>
    <t>18</t>
  </si>
  <si>
    <t>Nozzle Welding</t>
  </si>
  <si>
    <t>Nozzle-to-shell/head welding and inspection</t>
  </si>
  <si>
    <t>19</t>
  </si>
  <si>
    <t>PWHT / Heat Treatment</t>
  </si>
  <si>
    <t>If applicable, furnace/local PWHT and chart review</t>
  </si>
  <si>
    <t>Heat Treatment</t>
  </si>
  <si>
    <t>20</t>
  </si>
  <si>
    <t>NDE After Welding/PWHT</t>
  </si>
  <si>
    <t>RT/UT/MT/PT, hardness testing if applicable</t>
  </si>
  <si>
    <t>21</t>
  </si>
  <si>
    <t>Internal &amp; External Attachments</t>
  </si>
  <si>
    <t>Clips, supports, ladders, platforms, lifting lugs, internals, etc.</t>
  </si>
  <si>
    <t>22</t>
  </si>
  <si>
    <t>Final Assembly</t>
  </si>
  <si>
    <t>Internal attachments, external attachments, name-plate bracket, support/base ring</t>
  </si>
  <si>
    <t>23</t>
  </si>
  <si>
    <t>Final Dimensional Inspection</t>
  </si>
  <si>
    <t>Overall dimensions, roundness, nozzle orientation, projection, centerline</t>
  </si>
  <si>
    <t>24</t>
  </si>
  <si>
    <t>Final Visual Inspection</t>
  </si>
  <si>
    <t>Weld visual, surface condition, internal/external inspection</t>
  </si>
  <si>
    <t>25</t>
  </si>
  <si>
    <t>Hydrostatic / Pressure Test</t>
  </si>
  <si>
    <t>Hydrotest, pressure holding, inspection, test report</t>
  </si>
  <si>
    <t>26</t>
  </si>
  <si>
    <t>Draining &amp; Drying</t>
  </si>
  <si>
    <t>Complete draining, drying and preservation</t>
  </si>
  <si>
    <t>27</t>
  </si>
  <si>
    <t>Surface Preparation</t>
  </si>
  <si>
    <t>Shot blasting / grit blasting, surface profile inspection</t>
  </si>
  <si>
    <t>Surface Treatment &amp; Painting</t>
  </si>
  <si>
    <t>28</t>
  </si>
  <si>
    <t>Painting / Coating</t>
  </si>
  <si>
    <t>Primer, intermediate, topcoat, DFT inspection</t>
  </si>
  <si>
    <t>29</t>
  </si>
  <si>
    <t>Final Inspection</t>
  </si>
  <si>
    <t>Client/TPI final inspection, punch points and clearance</t>
  </si>
  <si>
    <t>30</t>
  </si>
  <si>
    <t>Name Plate &amp; Final Stamping</t>
  </si>
  <si>
    <t>Name plate verification, stamping, attachment</t>
  </si>
  <si>
    <t>31</t>
  </si>
  <si>
    <t>MDR / Final Documentation</t>
  </si>
  <si>
    <t>Manufacturing Data Record, MTC, NDE reports, hydrotest, PWHT, calibration, drawings, certificates</t>
  </si>
  <si>
    <t>Documentation / MDR</t>
  </si>
  <si>
    <t>32</t>
  </si>
  <si>
    <t>Packing &amp; Preservation</t>
  </si>
  <si>
    <t>Packing, flange protection, nozzle protection, lifting arrangement, marking</t>
  </si>
  <si>
    <t>Dispatch &amp; Logistics</t>
  </si>
  <si>
    <t>Dispatch Clearance</t>
  </si>
  <si>
    <t>Dispatch inspection, documentation clearance, invoice/e-way bill, transport arrangement</t>
  </si>
  <si>
    <t>33, 34</t>
  </si>
  <si>
    <t>Dispatch</t>
  </si>
  <si>
    <t>Loading, securing and dispatch to site</t>
  </si>
  <si>
    <t>35</t>
  </si>
  <si>
    <t>Material Specification</t>
  </si>
  <si>
    <t>Grade / UNS</t>
  </si>
  <si>
    <t>Product Form</t>
  </si>
  <si>
    <t>Density (g/cm³)</t>
  </si>
  <si>
    <t>SA 516</t>
  </si>
  <si>
    <t>Gr.70</t>
  </si>
  <si>
    <t>Gr.60</t>
  </si>
  <si>
    <t>SA 106</t>
  </si>
  <si>
    <t>Gr.B</t>
  </si>
  <si>
    <t>SA 266</t>
  </si>
  <si>
    <t>Gr.2</t>
  </si>
  <si>
    <t>SA 105</t>
  </si>
  <si>
    <t>SA 234</t>
  </si>
  <si>
    <t>WPB</t>
  </si>
  <si>
    <t>SB 171</t>
  </si>
  <si>
    <t>UNS C46400</t>
  </si>
  <si>
    <t>SB 111</t>
  </si>
  <si>
    <t>UNS C44300</t>
  </si>
  <si>
    <t>SB 351</t>
  </si>
  <si>
    <t>Alloy 443</t>
  </si>
  <si>
    <t>SA 515</t>
  </si>
  <si>
    <t>SA 179</t>
  </si>
  <si>
    <t>IS 2062</t>
  </si>
  <si>
    <t>IS 1239</t>
  </si>
  <si>
    <t>SS 304</t>
  </si>
  <si>
    <t>SS 316 (spiral wound gasket)</t>
  </si>
  <si>
    <t>Aluminium Bronze (W.D)</t>
  </si>
  <si>
    <t>Zinc (anode)</t>
  </si>
  <si>
    <t>SA 193</t>
  </si>
  <si>
    <t>B7 / B7M</t>
  </si>
  <si>
    <t>SA 194</t>
  </si>
  <si>
    <t>2H / 2HM</t>
  </si>
  <si>
    <t>Graphite packing</t>
  </si>
  <si>
    <t>BUNA-N</t>
  </si>
  <si>
    <t>Compressed fibre / Permanite gasket</t>
  </si>
  <si>
    <t>Operations</t>
  </si>
  <si>
    <t>Departments</t>
  </si>
  <si>
    <t>Assembly Groups</t>
  </si>
  <si>
    <t>Yes / No</t>
  </si>
  <si>
    <t>Step Kind</t>
  </si>
  <si>
    <t>PV</t>
  </si>
  <si>
    <t>Plate (L x W x T)</t>
  </si>
  <si>
    <t>Hours</t>
  </si>
  <si>
    <t>Per piece</t>
  </si>
  <si>
    <t>Heads / Dished Ends</t>
  </si>
  <si>
    <t>Days</t>
  </si>
  <si>
    <t>Per job</t>
  </si>
  <si>
    <t>Start-to-Start (overlap allowed)</t>
  </si>
  <si>
    <t>Reviewed</t>
  </si>
  <si>
    <t>Client / QAP requirement</t>
  </si>
  <si>
    <t>Tube</t>
  </si>
  <si>
    <t>Per metre of weld</t>
  </si>
  <si>
    <t>Approved by Production Head</t>
  </si>
  <si>
    <t>Code / standard</t>
  </si>
  <si>
    <t>Flanges</t>
  </si>
  <si>
    <t>Bought + fabricated in-house</t>
  </si>
  <si>
    <t>Ring / Flange (OD, ID, T)</t>
  </si>
  <si>
    <t>Per joint</t>
  </si>
  <si>
    <t>Channel / Bonnet</t>
  </si>
  <si>
    <t>Outsourced job work</t>
  </si>
  <si>
    <t>Bar / Rod</t>
  </si>
  <si>
    <t>Per hole</t>
  </si>
  <si>
    <t>Casting</t>
  </si>
  <si>
    <t>Bar / Rod (Dia, L)</t>
  </si>
  <si>
    <t>Per tube</t>
  </si>
  <si>
    <t>Floating Head</t>
  </si>
  <si>
    <t>Dished head (to be defined)</t>
  </si>
  <si>
    <t>Per kg</t>
  </si>
  <si>
    <t>Internals</t>
  </si>
  <si>
    <t>Assembly (made of other parts)</t>
  </si>
  <si>
    <t>Externals / Supports</t>
  </si>
  <si>
    <t>Sum of child parts</t>
  </si>
  <si>
    <t>Grinding</t>
  </si>
  <si>
    <t>Test Fixtures</t>
  </si>
  <si>
    <t>Surface Preparation / Blasting</t>
  </si>
  <si>
    <t>Anodes / Cathodic</t>
  </si>
  <si>
    <t>Name Plate &amp; Marking</t>
  </si>
  <si>
    <t>Vendor (outside DESPL)</t>
  </si>
  <si>
    <t>Spares</t>
  </si>
  <si>
    <t>Threading</t>
  </si>
  <si>
    <t>Other</t>
  </si>
  <si>
    <t>Tube Expansion</t>
  </si>
  <si>
    <t>Assembly Check</t>
  </si>
  <si>
    <t>PILOT – SOURCE DRAFT</t>
  </si>
  <si>
    <t>Shell Course</t>
  </si>
  <si>
    <t>HED-01</t>
  </si>
  <si>
    <t>Dished End</t>
  </si>
  <si>
    <t>FLG-01</t>
  </si>
  <si>
    <t>Nozzle Flange</t>
  </si>
  <si>
    <t>SA 266 Gr.2 / SA 182 / SB 171 Alloy 464</t>
  </si>
  <si>
    <t>OD, thickness, hole count, hole diameter, pitch, layout, pass partition grooves</t>
  </si>
  <si>
    <t>TUB-01</t>
  </si>
  <si>
    <t>SA 515 Gr.60 / CS / SS</t>
  </si>
  <si>
    <t>OD, thickness, baffle cut %, hole count, hole diameter, pitch, orientation</t>
  </si>
  <si>
    <t>SAD-01</t>
  </si>
  <si>
    <t>Saddle</t>
  </si>
  <si>
    <t>GAS-01</t>
  </si>
  <si>
    <t>Gasket</t>
  </si>
  <si>
    <t>Plate received and GRN prepared</t>
  </si>
  <si>
    <t>MTC reviewed and heat number transferred</t>
  </si>
  <si>
    <t>Long-seam edges prepared</t>
  </si>
  <si>
    <t>Plate rolled to specified diameter</t>
  </si>
  <si>
    <t>Long seam aligned and fitted</t>
  </si>
  <si>
    <t>Long seam welded to approved WPS</t>
  </si>
  <si>
    <t>Weld log; WPS/WPQ</t>
  </si>
  <si>
    <t>Long seam examined by specified NDE</t>
  </si>
  <si>
    <t>Extent and method as job QAP</t>
  </si>
  <si>
    <t>NDE report</t>
  </si>
  <si>
    <t>Visual and dimensional inspection</t>
  </si>
  <si>
    <t>Head plate or formed head received</t>
  </si>
  <si>
    <t>MTC and traceability verified</t>
  </si>
  <si>
    <t>Blank or petals cut to drawing</t>
  </si>
  <si>
    <t>Edges prepared for forming or welding</t>
  </si>
  <si>
    <t>Head formed to specified profile</t>
  </si>
  <si>
    <t>Trim and dress formed edge</t>
  </si>
  <si>
    <t>Segments or head seam fitted</t>
  </si>
  <si>
    <t>Only for segmented or welded construction</t>
  </si>
  <si>
    <t>Segments or head seam welded</t>
  </si>
  <si>
    <t>Specified examination of welds or formed head</t>
  </si>
  <si>
    <t>As required by drawing or QAP</t>
  </si>
  <si>
    <t>Profile, thickness and dimensions checked</t>
  </si>
  <si>
    <t>Pipe or neck forging received</t>
  </si>
  <si>
    <t>MTC and identification verified</t>
  </si>
  <si>
    <t>Neck cut to job length</t>
  </si>
  <si>
    <t>Facing or bore machining completed</t>
  </si>
  <si>
    <t>When drawing requires machining</t>
  </si>
  <si>
    <t>Weld end bevel prepared</t>
  </si>
  <si>
    <t>Neck fitted to flange or equipment</t>
  </si>
  <si>
    <t>Neck joint welded</t>
  </si>
  <si>
    <t>Joint examined by specified method</t>
  </si>
  <si>
    <t>As required by job QAP</t>
  </si>
  <si>
    <t>Projection and dimensions checked</t>
  </si>
  <si>
    <t>Purchased flange or forging received</t>
  </si>
  <si>
    <t>MTC, grade and traceability verified</t>
  </si>
  <si>
    <t>Incoming UT or other NDE reviewed/performed</t>
  </si>
  <si>
    <t>If required for forging or by job specification</t>
  </si>
  <si>
    <t>Bore, facing, drilling and final machining completed</t>
  </si>
  <si>
    <t>If supplied rough or job machining is required</t>
  </si>
  <si>
    <t>Rating, facing and dimensions checked</t>
  </si>
  <si>
    <t>Tubesheet forging received</t>
  </si>
  <si>
    <t>Forging UT reviewed or performed</t>
  </si>
  <si>
    <t>Rough machining completed</t>
  </si>
  <si>
    <t>Tube holes, bolt holes and pass grooves drilled/machined</t>
  </si>
  <si>
    <t>Final facing and finish machining completed</t>
  </si>
  <si>
    <t>Hole pattern, thickness, flatness and finish checked</t>
  </si>
  <si>
    <t>Heat-exchanger tubes received</t>
  </si>
  <si>
    <t>MTC and material identity verified</t>
  </si>
  <si>
    <t>Incoming dimensions and surface condition checked</t>
  </si>
  <si>
    <t>Tubes cut to job length</t>
  </si>
  <si>
    <t>When not supplied at final length</t>
  </si>
  <si>
    <t>Tube integrity test reviewed or performed</t>
  </si>
  <si>
    <t>Eddy-current or hydro test as specified</t>
  </si>
  <si>
    <t>Baffle plate received</t>
  </si>
  <si>
    <t>MTC and identity verified</t>
  </si>
  <si>
    <t>Baffle blank and segment profile cut</t>
  </si>
  <si>
    <t>Tube holes and tie-rod holes drilled/machined</t>
  </si>
  <si>
    <t>Baffle formed when drawing requires</t>
  </si>
  <si>
    <t>Only for formed baffle geometry</t>
  </si>
  <si>
    <t>OD, cut, hole pattern and burr condition checked</t>
  </si>
  <si>
    <t>Saddle plates and sections received</t>
  </si>
  <si>
    <t>Wrapper, web, ribs and base parts cut</t>
  </si>
  <si>
    <t>Wrapper plate rolled to vessel radius</t>
  </si>
  <si>
    <t>Saddle parts formed where required</t>
  </si>
  <si>
    <t>When detail drawing requires forming</t>
  </si>
  <si>
    <t>Child parts fitted into saddle assembly</t>
  </si>
  <si>
    <t>Saddle assembly welded</t>
  </si>
  <si>
    <t>Base or holes machined</t>
  </si>
  <si>
    <t>When drawing specifies machining</t>
  </si>
  <si>
    <t>Saddle welds examined</t>
  </si>
  <si>
    <t>Method and extent per job QAP</t>
  </si>
  <si>
    <t>Dimensions and welds inspected</t>
  </si>
  <si>
    <t>Studs and nuts received</t>
  </si>
  <si>
    <t>MTC or CoC and grade reviewed</t>
  </si>
  <si>
    <t>Quantity, dimensions and threads inspected</t>
  </si>
  <si>
    <t>Gaskets received and segregated</t>
  </si>
  <si>
    <t>CoC and construction reviewed</t>
  </si>
  <si>
    <t>Size, class, thickness and condition checked</t>
  </si>
  <si>
    <t>SOURCE REVIEW</t>
  </si>
  <si>
    <t>FLG-01, TSH-01</t>
  </si>
  <si>
    <t>MTC; forging record</t>
  </si>
  <si>
    <t>Hydrostatic Testing</t>
  </si>
  <si>
    <t>Hydro test report</t>
  </si>
  <si>
    <t>Tube Cleaning</t>
  </si>
  <si>
    <t>Engraving / Marking</t>
  </si>
  <si>
    <t>Name Plate</t>
  </si>
  <si>
    <t>Installation</t>
  </si>
  <si>
    <t>Assembly record</t>
  </si>
  <si>
    <t>Production Review &amp; Source Corrections</t>
  </si>
  <si>
    <t>No route, stage, duration, or approval below is treated as confirmed. Close these actions with the Production Head and responsible department before tracker loading.</t>
  </si>
  <si>
    <t>ID</t>
  </si>
  <si>
    <t>Category</t>
  </si>
  <si>
    <t>Source / Location</t>
  </si>
  <si>
    <t>Issue or Decision Required</t>
  </si>
  <si>
    <t>Controlled Action / Proposed Correction</t>
  </si>
  <si>
    <t>Owner</t>
  </si>
  <si>
    <t>Evidence / Impact</t>
  </si>
  <si>
    <t>Q-01</t>
  </si>
  <si>
    <t>Routing authority</t>
  </si>
  <si>
    <t>User instruction / conflicting route documents</t>
  </si>
  <si>
    <t>Which source governs PV and HE routes? Flange, dished-end and tubesheet routes conflict.</t>
  </si>
  <si>
    <t>Production Head to nominate controlling document and approve each pilot route.</t>
  </si>
  <si>
    <t>Production Head</t>
  </si>
  <si>
    <t>Open</t>
  </si>
  <si>
    <t>Q-02</t>
  </si>
  <si>
    <t>HE scope</t>
  </si>
  <si>
    <t>Master BOM _PV_HE.xlsx</t>
  </si>
  <si>
    <t>Which HE types are actually manufactured: fixed tubesheet, U-tube, floating head, Twin Oil Cooler or others?</t>
  </si>
  <si>
    <t>Approve the HE type list before HE Stages are created.</t>
  </si>
  <si>
    <t>Production Head / Engineering</t>
  </si>
  <si>
    <t>Q-03</t>
  </si>
  <si>
    <t>Tube joint</t>
  </si>
  <si>
    <t>HE component master</t>
  </si>
  <si>
    <t>Expansion only or expansion plus seal welding? Which mock-up, pull-out and leak tests apply?</t>
  </si>
  <si>
    <t>Approve joint variants and acceptance records.</t>
  </si>
  <si>
    <t>Production Head / QC</t>
  </si>
  <si>
    <t>Q-04</t>
  </si>
  <si>
    <t>Aluminium bronze</t>
  </si>
  <si>
    <t>HE 803-E-5</t>
  </si>
  <si>
    <t>Are AL.BR.W.D lines overlay/cladding or separate parts?</t>
  </si>
  <si>
    <t>Confirm BOM representation and weight treatment.</t>
  </si>
  <si>
    <t>Engineering / Production Head</t>
  </si>
  <si>
    <t>Duplicate-looking CS and AL bronze lines occur for flanges and partition plates.</t>
  </si>
  <si>
    <t>Q-05</t>
  </si>
  <si>
    <t>PWHT scope</t>
  </si>
  <si>
    <t>PV/HE route masters</t>
  </si>
  <si>
    <t>Is PWHT done on individual parts, the complete equipment, or both?</t>
  </si>
  <si>
    <t>Define route condition and equipment stage mapping.</t>
  </si>
  <si>
    <t>Heat treatment is not in the fixed operation list.</t>
  </si>
  <si>
    <t>Q-06</t>
  </si>
  <si>
    <t>Live jobs</t>
  </si>
  <si>
    <t>HE 803-E-5 and OC-48-0223</t>
  </si>
  <si>
    <t>Are these live jobs for tracker entry or historical source BOMs only?</t>
  </si>
  <si>
    <t>Confirm job status before importing job-specific quantities.</t>
  </si>
  <si>
    <t>Used here only as evidence for standard part families.</t>
  </si>
  <si>
    <t>Q-07</t>
  </si>
  <si>
    <t>PV reference</t>
  </si>
  <si>
    <t>Master BOM _PV.xlsx</t>
  </si>
  <si>
    <t>Should this BOM or DESPL-320 be the governing PV reference?</t>
  </si>
  <si>
    <t>Name one controlled PV baseline.</t>
  </si>
  <si>
    <t>Current assembly sheet cites DESPL-320; attached PV BOM contains a different extract.</t>
  </si>
  <si>
    <t>Q-08</t>
  </si>
  <si>
    <t>TOC source</t>
  </si>
  <si>
    <t>TOC Practice and Tube sheet Bundle - TOC</t>
  </si>
  <si>
    <t>Which overlapping Twin Oil Cooler sheet is authoritative?</t>
  </si>
  <si>
    <t>Retain one controlled BOM and archive/identify the derivative extract.</t>
  </si>
  <si>
    <t>The bundle sheet is a subset; some calculated weights differ.</t>
  </si>
  <si>
    <t>C-01</t>
  </si>
  <si>
    <t>Weight formula</t>
  </si>
  <si>
    <t>HE 803-E-5 P.No 2</t>
  </si>
  <si>
    <t>Shell Cover Barrel is calculated as a solid cylinder: 170.34 kg.</t>
  </si>
  <si>
    <t>Use hollow-cylinder formula; at ID 356, t 10, L 218 and 7.85 g/cm³, calculated weight is about 19.86 kg.</t>
  </si>
  <si>
    <t>Engineering</t>
  </si>
  <si>
    <t>Overstatement about 150.48 kg.</t>
  </si>
  <si>
    <t>C-02</t>
  </si>
  <si>
    <t>Double count</t>
  </si>
  <si>
    <t>HE 803-E-5 P.No 42–44 and 201–243</t>
  </si>
  <si>
    <t>Saddle and davit assemblies have lump weights and child parts are listed again.</t>
  </si>
  <si>
    <t>Set parent assemblies to Sum of child parts and count weight once.</t>
  </si>
  <si>
    <t>38.01 + 30.79 + 33.84 = 102.64 kg potential duplicate.</t>
  </si>
  <si>
    <t>C-03</t>
  </si>
  <si>
    <t>Item numbering</t>
  </si>
  <si>
    <t>Item numbers 8, 32, 33, 117 and 125 repeat; 14A is non-numeric.</t>
  </si>
  <si>
    <t>Renumber every BOM line uniquely and update drawing references.</t>
  </si>
  <si>
    <t>Duplicate keys will break tracker import.</t>
  </si>
  <si>
    <t>C-04</t>
  </si>
  <si>
    <t>Thickness conflict</t>
  </si>
  <si>
    <t>HE 803-E-5 P.No 32–33 and 125</t>
  </si>
  <si>
    <t>Description says 10 THK while thickness field says 5 or 6.</t>
  </si>
  <si>
    <t>Confirm drawing thickness and correct both description and numeric field.</t>
  </si>
  <si>
    <t>Engineering / QC</t>
  </si>
  <si>
    <t>Weight and procurement quantity depend on thickness.</t>
  </si>
  <si>
    <t>C-05</t>
  </si>
  <si>
    <t>Length error</t>
  </si>
  <si>
    <t>HE 803-E-5 P.No 40; TOC item 1055</t>
  </si>
  <si>
    <t>Length entered as 10 and 30 instead of 100 and 300.</t>
  </si>
  <si>
    <t>Correct numeric length after drawing check and recalculate weight.</t>
  </si>
  <si>
    <t>Current calculated weights are understated.</t>
  </si>
  <si>
    <t>C-06</t>
  </si>
  <si>
    <t>Nozzle tags</t>
  </si>
  <si>
    <t>HE 803-E-5 P.No 29–30</t>
  </si>
  <si>
    <t>Gaskets are tagged V1,D2 and V2,D2; D2 repeats and D1 is missing.</t>
  </si>
  <si>
    <t>Correct first tag set to V1,D1 if drawing confirms.</t>
  </si>
  <si>
    <t>Mismatch with corresponding flange and bolting tags.</t>
  </si>
  <si>
    <t>C-07</t>
  </si>
  <si>
    <t>Spare gasket sizes</t>
  </si>
  <si>
    <t>Mandatory Spares versus main BOM</t>
  </si>
  <si>
    <t>Spare gasket dimensions do not match mating main-BOM flanges.</t>
  </si>
  <si>
    <t>Reconcile each spare gasket OD/ID/class against the approved flange drawing.</t>
  </si>
  <si>
    <t>Engineering / Procurement</t>
  </si>
  <si>
    <t>Example: shell-cover spare 246/226 versus flange 498/356.</t>
  </si>
  <si>
    <t>C-08</t>
  </si>
  <si>
    <t>Missing checklist</t>
  </si>
  <si>
    <t>Attachment set</t>
  </si>
  <si>
    <t>The referenced 24-point correction checklist was not attached separately.</t>
  </si>
  <si>
    <t>Provide the checklist so all 24 points can be logged and closed.</t>
  </si>
  <si>
    <t>Document Control</t>
  </si>
  <si>
    <t>Only the points written in the instruction were available.</t>
  </si>
  <si>
    <t>A-01</t>
  </si>
  <si>
    <t>HE stages</t>
  </si>
  <si>
    <t>HE Stages sheet</t>
  </si>
  <si>
    <t>Hold HE Stages blank until a workshop confirms type-specific stages, durations and dependencies.</t>
  </si>
  <si>
    <t>Production Head / PPC</t>
  </si>
  <si>
    <t>A-02</t>
  </si>
  <si>
    <t>Standard times</t>
  </si>
  <si>
    <t>Part Routes sheet</t>
  </si>
  <si>
    <t>No approved shop standard times or bases were supplied.</t>
  </si>
  <si>
    <t>Supervisors to provide time, unit and basis for each route step.</t>
  </si>
  <si>
    <t>Department Supervisors / PPC</t>
  </si>
  <si>
    <t>All standard-time cells intentionally blank.</t>
  </si>
  <si>
    <t>A-03</t>
  </si>
  <si>
    <t>Approval names</t>
  </si>
  <si>
    <t>Parts Master / Read Me</t>
  </si>
  <si>
    <t>Prepared-by and checked-by real names were not supplied.</t>
  </si>
  <si>
    <t>Enter actual preparer and Production Head reviewer names during sign-off.</t>
  </si>
  <si>
    <t>All pilot parts remain Draft.</t>
  </si>
  <si>
    <t>Correction Calculations</t>
  </si>
  <si>
    <t>Check</t>
  </si>
  <si>
    <t>Value</t>
  </si>
  <si>
    <t>Shell cover barrel corrected weight (kg)</t>
  </si>
  <si>
    <t>Original stated weight (kg)</t>
  </si>
  <si>
    <t>Overstatement (kg)</t>
  </si>
  <si>
    <t>Potential duplicated assembly weight (kg)</t>
  </si>
  <si>
    <t>STANDARD PARTS MASTER — PILOT REVIEW</t>
  </si>
  <si>
    <t>CONTROL STATUS</t>
  </si>
  <si>
    <t>LIVE VALUE</t>
  </si>
  <si>
    <t>Pilot parts</t>
  </si>
  <si>
    <t>Route steps</t>
  </si>
  <si>
    <t>HE stages entered</t>
  </si>
  <si>
    <t>Missing stage mappings</t>
  </si>
  <si>
    <t>Route steps missing standard time</t>
  </si>
  <si>
    <t>Open review actions</t>
  </si>
  <si>
    <t>Approved pilot parts</t>
  </si>
  <si>
    <t>Tracker load readiness</t>
  </si>
  <si>
    <t>PART CODE</t>
  </si>
  <si>
    <t>PART NAME</t>
  </si>
  <si>
    <t>EQUIPMENT</t>
  </si>
  <si>
    <t>STEPS</t>
  </si>
  <si>
    <t>MISSING STAGE</t>
  </si>
  <si>
    <t>MISSING TIME</t>
  </si>
  <si>
    <t>ROUTE SOURCE</t>
  </si>
  <si>
    <t>STATUS</t>
  </si>
  <si>
    <t>REVIEW RESULT</t>
  </si>
  <si>
    <t>CATEGORY</t>
  </si>
  <si>
    <t>DECISION REQUIRED</t>
  </si>
  <si>
    <t>OWNER</t>
  </si>
  <si>
    <t>CONTROLLED ACTION</t>
  </si>
  <si>
    <t>30-MINUTE REVIEW AGENDA</t>
  </si>
  <si>
    <t>TIME</t>
  </si>
  <si>
    <t>TOPIC</t>
  </si>
  <si>
    <t>REQUIRED OUTPUT</t>
  </si>
  <si>
    <t>0–5 min</t>
  </si>
  <si>
    <t>Controlling sources</t>
  </si>
  <si>
    <t>Approve governing PV/HE routing documents</t>
  </si>
  <si>
    <t>5–10 min</t>
  </si>
  <si>
    <t>Approve exchanger types and stage framework</t>
  </si>
  <si>
    <t>10–18 min</t>
  </si>
  <si>
    <t>Pilot routes</t>
  </si>
  <si>
    <t>Confirm steps, departments, conditions and stage mapping</t>
  </si>
  <si>
    <t>18–23 min</t>
  </si>
  <si>
    <t>Assign supervisors and time-study basis</t>
  </si>
  <si>
    <t>23–27 min</t>
  </si>
  <si>
    <t>BOM corrections</t>
  </si>
  <si>
    <t>Approve correction owner and drawing checks</t>
  </si>
  <si>
    <t>27–30 min</t>
  </si>
  <si>
    <t>Sign-off</t>
  </si>
  <si>
    <t>Record owners, due dates and approval status</t>
  </si>
  <si>
    <t>SIGN-OFF ROLE</t>
  </si>
  <si>
    <t>NAME</t>
  </si>
  <si>
    <t>DATE</t>
  </si>
  <si>
    <t>Production Supervisor</t>
  </si>
  <si>
    <t>PPC / Planning</t>
  </si>
  <si>
    <t>Do not change HOLD to READY until every route has stage mapping and standard time, HE stages are approved, all actions are closed, and the Production Head has approved all 10 parts.</t>
  </si>
  <si>
    <t>SA240 S32205</t>
  </si>
  <si>
    <t>ID 3000; thickness 10; developed length 9456; course width/length per job</t>
  </si>
  <si>
    <t>ID 3000; raw thickness 12; formed thickness 10 min; 2:1 semi-ellipsoidal; ICR 2700; IKR 510; straight face 50; blank dia 3772</t>
  </si>
  <si>
    <t>A, B</t>
  </si>
  <si>
    <t>SA790 S32205</t>
  </si>
  <si>
    <t>OD, thickness, cut length, NB/tag, projection; drawing range includes OD 21.3 to 813</t>
  </si>
  <si>
    <t>SA182 Gr.F60</t>
  </si>
  <si>
    <t>NB, class, SORF type, facing, bore, OD, ID, thickness</t>
  </si>
  <si>
    <t>Existing forged tubesheet family retained. SP40 uses a separate fabricated-plate family TSH-02.</t>
  </si>
  <si>
    <t>SB338 Gr.2 titanium / other approved tube materials</t>
  </si>
  <si>
    <t>OD, wall thickness, effective length, overall length, quantity; SP40: OD 21.3 × 0.4, 3000 overall (Effects 1–8), 2260 overall (Effect 9)</t>
  </si>
  <si>
    <t>SP40-02-02-11-04 Rev.0 specifies tubes tight-fit with EPDM grommets; no expansion, seal weld or joint test is stated.</t>
  </si>
  <si>
    <t>Existing generic baffle retained. SP40 drawing package separately defines an EPDM baffle-grommet family.</t>
  </si>
  <si>
    <t>Metal structure per saddle drawing; PTFE sliding sheet</t>
  </si>
  <si>
    <t>vessel OD; saddle steel-part dimensions; fixed/sliding type; PTFE sheet 10 × 450 × 3030</t>
  </si>
  <si>
    <t>SP40-02-02-11-01 Rev.0 confirms saddle assembly and food-grade PTFE sliding sheet; metal material/route requires review.</t>
  </si>
  <si>
    <t>SA193 Gr.B8M stud with SA194 Gr.8M nuts</t>
  </si>
  <si>
    <t>diameter, thread, length, quantity; SP40 examples 1/2 in × 75/80 and 5/8 in × 100</t>
  </si>
  <si>
    <t>EPDM food grade / other approved gasket grade</t>
  </si>
  <si>
    <t>OD, ID, thickness, class/construction, quantity; SP40 examples 3 THK, OD/ID 48/21, 67/33 and 105/60</t>
  </si>
  <si>
    <t>DRAWING SOURCE DRAFT</t>
  </si>
  <si>
    <t>RFP-01</t>
  </si>
  <si>
    <t>Reinforcement Pad</t>
  </si>
  <si>
    <t>OD, ID, thickness, quantity</t>
  </si>
  <si>
    <t>SP40 drawing BOM includes nozzle and piping-support reinforcement pads; manufacturing route not stated.</t>
  </si>
  <si>
    <t>TSH-02</t>
  </si>
  <si>
    <t>Tube Sheet (Fabricated Plate)</t>
  </si>
  <si>
    <t>OD, thickness, plate joints, hole count/layout, hole dia, pitch, chamfer, finish</t>
  </si>
  <si>
    <t>SP40-02-03-04-002 Rev.0: OD 3000 × 10; hole Ø24.7; 28.78 pitch; 1.6 micron finish; six effect-specific layouts.</t>
  </si>
  <si>
    <t>NUT-01</t>
  </si>
  <si>
    <t>Hex Nut</t>
  </si>
  <si>
    <t>SA194 Gr.8M</t>
  </si>
  <si>
    <t>thread diameter, grade, quantity</t>
  </si>
  <si>
    <t>Listed separately in SP40 nozzle BOM.</t>
  </si>
  <si>
    <t>WSH-01</t>
  </si>
  <si>
    <t>Washer</t>
  </si>
  <si>
    <t>SS316L</t>
  </si>
  <si>
    <t>nominal diameter, OD, ID, thickness, quantity</t>
  </si>
  <si>
    <t>GRM-01</t>
  </si>
  <si>
    <t>Tube Grommet</t>
  </si>
  <si>
    <t>EPDM food grade</t>
  </si>
  <si>
    <t>tube OD, tubesheet hole, profile dimensions, Shore hardness, quantity</t>
  </si>
  <si>
    <t>SP40-02-02-11-04/-05 Rev.0: tube is tight-fit with grommet; no expansion or seal weld stated.</t>
  </si>
  <si>
    <t>BGM-01</t>
  </si>
  <si>
    <t>Baffle Grommet</t>
  </si>
  <si>
    <t>tube OD, baffle hole, profile dimensions, Shore hardness, quantity</t>
  </si>
  <si>
    <t>SP40-02-02-11-07 Rev.0 requires food-grade EPDM certificate and Shore hardness.</t>
  </si>
  <si>
    <t>PTF-01</t>
  </si>
  <si>
    <t>PTFE Sliding Sheet</t>
  </si>
  <si>
    <t>PTFE food grade</t>
  </si>
  <si>
    <t>thickness, width, length, hole pattern, quantity</t>
  </si>
  <si>
    <t>SP40 saddle detail: 10 THK × 450 × 3030; food-grade material.</t>
  </si>
  <si>
    <t>MNH-01</t>
  </si>
  <si>
    <t>Manhole Assembly</t>
  </si>
  <si>
    <t>Per approved manhole drawing</t>
  </si>
  <si>
    <t>ID/NB, neck, cover, flange, bolting, gasket, quantity</t>
  </si>
  <si>
    <t>SP40 overall material list references four ID590 manholes to SP40-02-02-11-02.</t>
  </si>
  <si>
    <t>HNH-01</t>
  </si>
  <si>
    <t>Handhole Assembly</t>
  </si>
  <si>
    <t>Per approved handhole drawing</t>
  </si>
  <si>
    <t>NB, neck, cover, flange, bolting, gasket, quantity</t>
  </si>
  <si>
    <t>SP40 overall material list references one NB300 handhole.</t>
  </si>
  <si>
    <t>VGL-01</t>
  </si>
  <si>
    <t>View Glass</t>
  </si>
  <si>
    <t>Toughened borosilicate</t>
  </si>
  <si>
    <t>diameter, thickness, rating, quantity</t>
  </si>
  <si>
    <t>SP40-02-02-11-03 Rev.0; three view-glass assemblies in overall material list.</t>
  </si>
  <si>
    <t>NCG-01</t>
  </si>
  <si>
    <t>NCG Box Assembly</t>
  </si>
  <si>
    <t>effect/location, plate dimensions, tube-sheet interface, quantity</t>
  </si>
  <si>
    <t>SP40-02-03-04-006 Rev.0 defines Effect 1.1, 2.1 and 3.1 NCG boxes.</t>
  </si>
  <si>
    <t>JTB-01</t>
  </si>
  <si>
    <t>J Tube</t>
  </si>
  <si>
    <t>OD, thickness, developed/cut length, bend geometry, quantity</t>
  </si>
  <si>
    <t>SP40-02-03-04-007 Rev.0 NCG nozzle and J-tube details.</t>
  </si>
  <si>
    <t>DEM-01</t>
  </si>
  <si>
    <t>Demister Assembly</t>
  </si>
  <si>
    <t>Per approved demister drawing</t>
  </si>
  <si>
    <t>effect/location, OD/plan dimensions, support details, quantity</t>
  </si>
  <si>
    <t>SP40-02-03-04-004 Rev.0 contains separate Effect 1, 2 and 3 demister details.</t>
  </si>
  <si>
    <t>IGR-01</t>
  </si>
  <si>
    <t>Internal Grating</t>
  </si>
  <si>
    <t>SA240 / SA720 S32205 as printed</t>
  </si>
  <si>
    <t>plate thickness, profile dimensions, quantity</t>
  </si>
  <si>
    <t>SP40-02-03-04-003 Sheet 02. Verify printed SA720 specification before approval.</t>
  </si>
  <si>
    <t>IDA-01</t>
  </si>
  <si>
    <t>Internal Door Assembly</t>
  </si>
  <si>
    <t>Per approved internal-door drawings</t>
  </si>
  <si>
    <t>effect/location, opening, plate/rib dimensions, quantity</t>
  </si>
  <si>
    <t>Six internal-door details are referenced by the SP40 overall material list.</t>
  </si>
  <si>
    <t>LUG-01</t>
  </si>
  <si>
    <t>Lifting Lug</t>
  </si>
  <si>
    <t>Per SP40 external-attachment drawing</t>
  </si>
  <si>
    <t>plate profile, thickness, hole diameter, quantity</t>
  </si>
  <si>
    <t>SP40-02-03-04-008 Rev.0 includes typical lifting-lug detail.</t>
  </si>
  <si>
    <t>PSP-01</t>
  </si>
  <si>
    <t>Piping Support Pad</t>
  </si>
  <si>
    <t>length, width, thickness, shell radius, quantity</t>
  </si>
  <si>
    <t>SP40 overall BOM: PL.10 × 200 × 200, quantity 12.</t>
  </si>
  <si>
    <t>PPL-01</t>
  </si>
  <si>
    <t>Partition Plate</t>
  </si>
  <si>
    <t>thickness, profile, location/effect, quantity</t>
  </si>
  <si>
    <t>Partition plates shown in SP40 internal-arrangement/grating drawings; route not stated.</t>
  </si>
  <si>
    <t>GSP-01</t>
  </si>
  <si>
    <t>Gusset Plate</t>
  </si>
  <si>
    <t>profile, thickness, quantity</t>
  </si>
  <si>
    <t>Gusset plates shown in SP40 demister/internal details; route not stated.</t>
  </si>
  <si>
    <t>SUP-01</t>
  </si>
  <si>
    <t>Support Plate</t>
  </si>
  <si>
    <t>Support plates shown in SP40 demister/internal details; route not stated.</t>
  </si>
  <si>
    <t>DRAWING REQUIREMENT</t>
  </si>
  <si>
    <t>B</t>
  </si>
  <si>
    <t>Maintain identification marking; after forming, marking remains on outside</t>
  </si>
  <si>
    <t>Department, stage and time pending shop confirmation.</t>
  </si>
  <si>
    <t>Prepare blank; indicative diameter 3772, final blank per manufacturer while finished geometry is maintained</t>
  </si>
  <si>
    <t>Cold form 2:1 semi-ellipsoidal head to drawing dimensions</t>
  </si>
  <si>
    <t>Full dye-penetrant examination on inside and outside in presence of TPI</t>
  </si>
  <si>
    <t>Check dished profile by template</t>
  </si>
  <si>
    <t>Verify ID, height, straight face, minimum formed thickness and skirt roundness</t>
  </si>
  <si>
    <t>Fit plate sections for plate-to-plate joint shown on drawing</t>
  </si>
  <si>
    <t>SP40-02-03-04-002 Rev.0 typical weld detail</t>
  </si>
  <si>
    <t>Complete tubesheet plate-to-plate weld</t>
  </si>
  <si>
    <t>SP40-02-03-04-002 Rev.0</t>
  </si>
  <si>
    <t>Perform 100% RT and obtain acceptance before drilling tube holes</t>
  </si>
  <si>
    <t>SP40-02-03-04-002 Rev.0 note 2</t>
  </si>
  <si>
    <t>RT report / release</t>
  </si>
  <si>
    <t>Mandatory hold before drilling; department, stage and time pending.</t>
  </si>
  <si>
    <t>Machine tube holes Ø24.7 to drawing layout/pitch</t>
  </si>
  <si>
    <t>Machining/drilling report</t>
  </si>
  <si>
    <t>Only after accepted RT; department, stage and time pending.</t>
  </si>
  <si>
    <t>Thoroughly deburr all tube holes</t>
  </si>
  <si>
    <t>SP40-02-03-04-002 Rev.0 note 3</t>
  </si>
  <si>
    <t>Inspection record</t>
  </si>
  <si>
    <t>Finish tube holes to 1.6 microns and chamfer 0.5 × 45° both sides</t>
  </si>
  <si>
    <t>SP40-02-03-04-002 Rev.0 notes 3 and 4</t>
  </si>
  <si>
    <t>Surface-finish/dimensional report</t>
  </si>
  <si>
    <t>Verify OD, thickness, hole pattern, flatness, circularity and freedom from distortion</t>
  </si>
  <si>
    <t>SP40-02-03-04-002 Rev.0 note 5</t>
  </si>
  <si>
    <t>Final dimensional report</t>
  </si>
  <si>
    <t>SA240</t>
  </si>
  <si>
    <t>S32205</t>
  </si>
  <si>
    <t>SA790</t>
  </si>
  <si>
    <t>SA182</t>
  </si>
  <si>
    <t>Gr.F60</t>
  </si>
  <si>
    <t>SA193</t>
  </si>
  <si>
    <t>Gr.B8M</t>
  </si>
  <si>
    <t>Stud</t>
  </si>
  <si>
    <t>SA194</t>
  </si>
  <si>
    <t>Gr.8M</t>
  </si>
  <si>
    <t>Nut</t>
  </si>
  <si>
    <t>SB338</t>
  </si>
  <si>
    <t>EPDM</t>
  </si>
  <si>
    <t>Food grade</t>
  </si>
  <si>
    <t>Gasket / grommet</t>
  </si>
  <si>
    <t>PTFE</t>
  </si>
  <si>
    <t>Sheet</t>
  </si>
  <si>
    <t>View glass</t>
  </si>
  <si>
    <t>MED Train 1 (SP40)</t>
  </si>
  <si>
    <t>HD-L</t>
  </si>
  <si>
    <t>Left Dished Head Assembly</t>
  </si>
  <si>
    <t>Locate NSA2 reinforcement pad on left dished head per drawing</t>
  </si>
  <si>
    <t>HED-01 + RFP-01</t>
  </si>
  <si>
    <t>Left head with NSA2 pad</t>
  </si>
  <si>
    <t>SP40-02-03-04-001 Sheet 01 Rev.0; joining method/department/stage require approval.</t>
  </si>
  <si>
    <t>HD-R</t>
  </si>
  <si>
    <t>Right Dished Head Assembly</t>
  </si>
  <si>
    <t>Locate NSA3 reinforcement pad on right dished head per drawing</t>
  </si>
  <si>
    <t>Right head with NSA3 pad</t>
  </si>
  <si>
    <t>SP40-02-03-04-001 Sheet 02 Rev.0; joining method/department/stage require approval.</t>
  </si>
  <si>
    <t>TB</t>
  </si>
  <si>
    <t>Tube-to-Tubesheet Joint</t>
  </si>
  <si>
    <t>Install food-grade EPDM grommets at tubesheet penetrations</t>
  </si>
  <si>
    <t>GRM-01 + TSH-02</t>
  </si>
  <si>
    <t>Grommeted tubesheets</t>
  </si>
  <si>
    <t>SP40-02-02-11-04/-05 Rev.0; operation ownership and stage pending.</t>
  </si>
  <si>
    <t>Pass Ø21.3 tubes through 10 mm tubesheets and grommets to drawing lengths</t>
  </si>
  <si>
    <t>TUB-01 + GRM-01 + TSH-02</t>
  </si>
  <si>
    <t>Tube/tubesheet assembly</t>
  </si>
  <si>
    <t>Drawing states tight fit with grommets; no expansion or seal welding is specified.</t>
  </si>
  <si>
    <t>Verify tight fit and effective tube length</t>
  </si>
  <si>
    <t>Tube bank ready for next approved assembly stage</t>
  </si>
  <si>
    <t>Effective length 2950 for Effects 1–8 and 2210 for Effect 9; no joint test stated.</t>
  </si>
  <si>
    <t>SA</t>
  </si>
  <si>
    <t>Saddle Sliding Interface</t>
  </si>
  <si>
    <t>Fit food-grade PTFE sliding sheet to saddle arrangement</t>
  </si>
  <si>
    <t>SAD-01 + PTF-01</t>
  </si>
  <si>
    <t>Sliding saddle interface</t>
  </si>
  <si>
    <t>SP40-02-02-11-01 Rev.0; joining/retention method and stage require approval.</t>
  </si>
  <si>
    <t>SP40-02-02-11-04 Rev.0 resolves this project as Ø21.3 tubes tight-fit with food-grade EPDM grommets; it specifies neither expansion nor seal welding nor joint testing. Other HE designs remain unresolved.</t>
  </si>
  <si>
    <t>SP40 drawing package confirms MED Train 1 with three effects and six tubesheets; it does not define the organization's complete HE type list.</t>
  </si>
  <si>
    <t>SP40 package is Rev.0 marked Submission and supplies component requirements, but does not designate itself as the controlling shop-routing document.</t>
  </si>
  <si>
    <t>SP40 confirms a MED Train 1 equipment configuration but provides no whole-equipment stage schedule, durations, or predecessors.</t>
  </si>
  <si>
    <t>HE Stages remains blank to avoid inventing planning gates. Drawing-backed component operations are recorded in Part Routes and Assembly Sequence only.</t>
  </si>
  <si>
    <t>D-01</t>
  </si>
  <si>
    <t>Drawing release</t>
  </si>
  <si>
    <t>SP40 drawing package Rev.0</t>
  </si>
  <si>
    <t>Is Rev.0 marked 'Submission' released for manufacture and tracker use?</t>
  </si>
  <si>
    <t>Document Control/Production Head to confirm controlled release status.</t>
  </si>
  <si>
    <t>Document Control / Production Head</t>
  </si>
  <si>
    <t>Engineering title blocks show DRWN MMS, CHKD KJR, APPD AJM; this is not Production Head sign-off.</t>
  </si>
  <si>
    <t>D-02</t>
  </si>
  <si>
    <t>Tube joint scope</t>
  </si>
  <si>
    <t>SP40-02-02-11-04 Rev.0</t>
  </si>
  <si>
    <t>Does the tight-fit EPDM grommet joint apply only to SP40 MED units or become a standard HE route variant?</t>
  </si>
  <si>
    <t>Approve a distinct grommet-joint route; do not map it to Tube Expansion.</t>
  </si>
  <si>
    <t>Production Head / Engineering / QC</t>
  </si>
  <si>
    <t>Drawing explicitly says tubes should be tight fit with grommets; no expansion/seal welding/test stated.</t>
  </si>
  <si>
    <t>D-03</t>
  </si>
  <si>
    <t>Grommet certificate</t>
  </si>
  <si>
    <t>SP40-02-02-11-05/-07 Rev.0</t>
  </si>
  <si>
    <t>What approved EPDM compound, Shore hardness, density and supplier certificate apply?</t>
  </si>
  <si>
    <t>Enter vendor-certified properties before weight or procurement automation.</t>
  </si>
  <si>
    <t>Engineering / Procurement / QC</t>
  </si>
  <si>
    <t>Drawing requires food-grade certificate and Shore hardness but gives no value.</t>
  </si>
  <si>
    <t>D-04</t>
  </si>
  <si>
    <t>Material specification</t>
  </si>
  <si>
    <t>SP40-02-03-04-003 Sheet 02 Rev.0</t>
  </si>
  <si>
    <t>Confirm whether printed SA720 S32205 is correct or should be SA240 S32205.</t>
  </si>
  <si>
    <t>Correct the controlled drawing/BOM only after Engineering confirmation.</t>
  </si>
  <si>
    <t>Engineering / Document Control</t>
  </si>
  <si>
    <t>Internal-grating material list includes SA720 S32205 while surrounding duplex plate items use SA240 S32205.</t>
  </si>
  <si>
    <t>D-05</t>
  </si>
  <si>
    <t>Stage and time mapping</t>
  </si>
  <si>
    <t>SP40 drawing-derived routes</t>
  </si>
  <si>
    <t>Which departments, HE stage numbers and standard times apply to the 13 drawing-required steps?</t>
  </si>
  <si>
    <t>Production Head and supervisors to fill department, stage, time, unit and basis.</t>
  </si>
  <si>
    <t>Production Head / Supervisors / PPC</t>
  </si>
  <si>
    <t>Drawing states technical requirements but not DESPL ownership, stage mapping or shop duration.</t>
  </si>
  <si>
    <t>D-06</t>
  </si>
  <si>
    <t>Missing governing documents</t>
  </si>
  <si>
    <t>SP40 reference drawing lists</t>
  </si>
  <si>
    <t>Provide approved GA, notes, QAP/ITP, weld details, internal-door, handhole and material-list revisions used for manufacture.</t>
  </si>
  <si>
    <t>Register supplied revisions and use them to complete route acceptance criteria and assembly sequence.</t>
  </si>
  <si>
    <t>Document Control / Engineering / QC</t>
  </si>
  <si>
    <t>The package references additional controlled documents; a fabrication drawing alone cannot establish the full route.</t>
  </si>
  <si>
    <t>D-07</t>
  </si>
  <si>
    <t>Complete MED stage plan</t>
  </si>
  <si>
    <t>Approve PO-to-dispatch stage structure for MED Train 1 and provide min/max durations and predecessors.</t>
  </si>
  <si>
    <t>Run PPC/Production workshop; then populate HE Stages and map every HE route/assembly row.</t>
  </si>
  <si>
    <t>No schedule or duration data appears in the drawing package.</t>
  </si>
  <si>
    <t>SP40 MED TRAIN 1 — DRAWING BASIS &amp; TRACEABILITY</t>
  </si>
  <si>
    <t>Source: SP40-02-03-04-001-R0 package (25 PDF pages). Drawing-backed facts are recorded below; shop routes, stages, durations and Production Head approval are not inferred.</t>
  </si>
  <si>
    <t>EQUIPMENT BASIS</t>
  </si>
  <si>
    <t>VALUE</t>
  </si>
  <si>
    <t>Project</t>
  </si>
  <si>
    <t>Configuration evidenced</t>
  </si>
  <si>
    <t>Drawing status</t>
  </si>
  <si>
    <t>Construction code</t>
  </si>
  <si>
    <t>Design pressure</t>
  </si>
  <si>
    <t>Hydro test pressure</t>
  </si>
  <si>
    <t>Design temperature</t>
  </si>
  <si>
    <t>Tracker status</t>
  </si>
  <si>
    <t>SP40 – Solar Thermal Desalination Plant</t>
  </si>
  <si>
    <t>MED Train 1 vessel / evaporator</t>
  </si>
  <si>
    <t>Three effects; six Ø3000 fabricated tubesheets; titanium tubes with EPDM grommets</t>
  </si>
  <si>
    <t>Revision 0 – Submission</t>
  </si>
  <si>
    <t>ASME Section VIII Division 1 – 2025</t>
  </si>
  <si>
    <t>0.01 bar(a) internal</t>
  </si>
  <si>
    <t>1 bar(g)</t>
  </si>
  <si>
    <t>100 °C</t>
  </si>
  <si>
    <t>HOLD — Production Head/PPC review required</t>
  </si>
  <si>
    <t>REQ ID</t>
  </si>
  <si>
    <t>COMPONENT</t>
  </si>
  <si>
    <t>DRAWING / SHEET</t>
  </si>
  <si>
    <t>SOURCE PAGE</t>
  </si>
  <si>
    <t>CONFIRMED REQUIREMENT</t>
  </si>
  <si>
    <t>FIXED OPERATION</t>
  </si>
  <si>
    <t>WORKBOOK LOCATION</t>
  </si>
  <si>
    <t>R-01</t>
  </si>
  <si>
    <t>Dished Head</t>
  </si>
  <si>
    <t>SP40-02-03-04-001 / 01–02</t>
  </si>
  <si>
    <t>1–2</t>
  </si>
  <si>
    <t>2:1 semi-ellipsoidal; ID 3000; raw 12; formed 10 min; ICR 2700; IKR 510; SF 50; blank Ø3772</t>
  </si>
  <si>
    <t>Part Routes HED-01 Variant B</t>
  </si>
  <si>
    <t>R-02</t>
  </si>
  <si>
    <t>Cold forming required</t>
  </si>
  <si>
    <t>R-03</t>
  </si>
  <si>
    <t>Full dye penetrant test inside and outside in presence of TPI</t>
  </si>
  <si>
    <t>R-04</t>
  </si>
  <si>
    <t>Template profile check and UG-81 tolerances</t>
  </si>
  <si>
    <t>R-05</t>
  </si>
  <si>
    <t>Tubesheet</t>
  </si>
  <si>
    <t>SP40-02-03-04-002 / 01–06</t>
  </si>
  <si>
    <t>14–19</t>
  </si>
  <si>
    <t>SA240 S32205 plate, OD 3000 × 10; six effect-specific layouts</t>
  </si>
  <si>
    <t>Parts Master TSH-02</t>
  </si>
  <si>
    <t>Part definition confirmed</t>
  </si>
  <si>
    <t>R-06</t>
  </si>
  <si>
    <t>Plate-to-plate weld 100% RT and accepted before drilling</t>
  </si>
  <si>
    <t>Part Routes TSH-02</t>
  </si>
  <si>
    <t>R-07</t>
  </si>
  <si>
    <t>Tube holes Ø24.7; pitch 28.78; finish 1.6 microns; deburr; 0.5 × 45° chamfer both sides</t>
  </si>
  <si>
    <t>R-08</t>
  </si>
  <si>
    <t>Maintain flatness, circularity and freedom from distortion through fabrication/welding/machining</t>
  </si>
  <si>
    <t>R-09</t>
  </si>
  <si>
    <t>SP40-02-02-11-04</t>
  </si>
  <si>
    <t>Ø21.3 tube through 10 mm tubesheets; tight fit with grommets</t>
  </si>
  <si>
    <t>Installation (proposed)</t>
  </si>
  <si>
    <t>R-10</t>
  </si>
  <si>
    <t>SP40-02-03-05 + SP40-02-02-11-04</t>
  </si>
  <si>
    <t>3, 23</t>
  </si>
  <si>
    <t>SB338 Gr.2 titanium, OD 21.3 × 0.4; 3000 overall for Effects 1–8; 2260 for Effect 9</t>
  </si>
  <si>
    <t>Parts Master TUB-01</t>
  </si>
  <si>
    <t>R-11</t>
  </si>
  <si>
    <t>Grommet</t>
  </si>
  <si>
    <t>SP40-02-02-11-05/-07</t>
  </si>
  <si>
    <t>21–22</t>
  </si>
  <si>
    <t>EPDM food grade; submit certificate and Shore hardness</t>
  </si>
  <si>
    <t>Parts Master GRM-01/BGM-01</t>
  </si>
  <si>
    <t>R-12</t>
  </si>
  <si>
    <t>SP40-02-02-11-01</t>
  </si>
  <si>
    <t>PTFE food-grade sliding sheet 10 × 450 × 3030</t>
  </si>
  <si>
    <t>Retention method/stage pending</t>
  </si>
  <si>
    <t>R-13</t>
  </si>
  <si>
    <t>SP40-02-03-05</t>
  </si>
  <si>
    <t>Ten SA240 S32205 shell plates, PL.10 × 9456 developed length</t>
  </si>
  <si>
    <t>Parts Master SHL-01</t>
  </si>
  <si>
    <t>PDF PAGE</t>
  </si>
  <si>
    <t>DRAWING NUMBER</t>
  </si>
  <si>
    <t>SHEET</t>
  </si>
  <si>
    <t>REV.</t>
  </si>
  <si>
    <t>DRAWING TITLE</t>
  </si>
  <si>
    <t>SP40-02-03-04-001</t>
  </si>
  <si>
    <t>01 OF 02</t>
  </si>
  <si>
    <t>MED Train 1 – Left Side Dished Head Detail</t>
  </si>
  <si>
    <t>02 OF 02</t>
  </si>
  <si>
    <t>MED Train 1 – Right Side Dished Head Detail</t>
  </si>
  <si>
    <t>01 OF 01</t>
  </si>
  <si>
    <t>MED Train 1 – Overall Material List</t>
  </si>
  <si>
    <t>SP40-02-03-04-008</t>
  </si>
  <si>
    <t>MED Train 1 – External Attachment Details</t>
  </si>
  <si>
    <t>SP40-02-03-04-007</t>
  </si>
  <si>
    <t>MED Train 1 – NCG Nozzles and J Tubes Detail</t>
  </si>
  <si>
    <t>SP40-02-03-04-006</t>
  </si>
  <si>
    <t>01 OF 03</t>
  </si>
  <si>
    <t>MED Train 1 – Effect 1.1 NCG Box Details</t>
  </si>
  <si>
    <t>02 OF 03</t>
  </si>
  <si>
    <t>MED Train 1 – Effect 2.1 NCG Box Details</t>
  </si>
  <si>
    <t>03 OF 03</t>
  </si>
  <si>
    <t>MED Train 1 – Effect 3.1 NCG Box Details</t>
  </si>
  <si>
    <t>SP40-02-03-04-004</t>
  </si>
  <si>
    <t>MED Train 1 – Effect 1 Demister Details</t>
  </si>
  <si>
    <t>MED Train 1 – Effect 2 Demister Details</t>
  </si>
  <si>
    <t>MED Train 1 – Effect 3 Demister Details</t>
  </si>
  <si>
    <t>SP40-02-03-04-003</t>
  </si>
  <si>
    <t>MED Train 1 – Internal Attachment Detail</t>
  </si>
  <si>
    <t>MED Train 1 – Internal Grating Detail</t>
  </si>
  <si>
    <t>SP40-02-03-04-002</t>
  </si>
  <si>
    <t>01 OF 06</t>
  </si>
  <si>
    <t>MED Train 1 – Effect 1.1 Tube Sheet Detail</t>
  </si>
  <si>
    <t>02 OF 06</t>
  </si>
  <si>
    <t>MED Train 1 – Effect 1.2 Tube Sheet Detail</t>
  </si>
  <si>
    <t>03 OF 06</t>
  </si>
  <si>
    <t>MED Train 1 – Effect 2.1 Tube Sheet Detail</t>
  </si>
  <si>
    <t>04 OF 06</t>
  </si>
  <si>
    <t>MED Train 1 – Effect 2.2 Tube Sheet Detail</t>
  </si>
  <si>
    <t>05 OF 06</t>
  </si>
  <si>
    <t>MED Train 1 – Effect 3.1 Tube Sheet Detail</t>
  </si>
  <si>
    <t>06 OF 06</t>
  </si>
  <si>
    <t>MED Train 1 – Effect 3.2 Tube Sheet Detail</t>
  </si>
  <si>
    <t>MED Trains 1–3 – Saddle Details</t>
  </si>
  <si>
    <t>SP40-02-02-11-07</t>
  </si>
  <si>
    <t>MED Trains 1–3 – Baffle Grommet Detail</t>
  </si>
  <si>
    <t>SP40-02-02-11-05</t>
  </si>
  <si>
    <t>MED Trains 1–3 – Grommet Detail</t>
  </si>
  <si>
    <t>MED Trains 1–3 – Tube to Tube Sheet Fixing Detail</t>
  </si>
  <si>
    <t>SP40-02-02-11-03</t>
  </si>
  <si>
    <t>MED Trains 1–3 – View Glass Detail</t>
  </si>
  <si>
    <t>SP40-02-02-11-02</t>
  </si>
  <si>
    <t>MED Trains 1–3 – Manhole Detail</t>
  </si>
  <si>
    <t>OPEN CONTROL</t>
  </si>
  <si>
    <t>WHY IT REMAINS OPEN</t>
  </si>
  <si>
    <t>HE stage schedule</t>
  </si>
  <si>
    <t>No min/max durations or predecessors in drawing</t>
  </si>
  <si>
    <t>Department ownership</t>
  </si>
  <si>
    <t>Drawing does not assign DESPL departments</t>
  </si>
  <si>
    <t>No shop time study in drawing</t>
  </si>
  <si>
    <t>Production approval</t>
  </si>
  <si>
    <t>Title-block approval is not identified as Production Head approval</t>
  </si>
  <si>
    <t>Tube joint tests</t>
  </si>
  <si>
    <t>No mock-up, pull-out or leak test specified</t>
  </si>
  <si>
    <t>EPDM properties</t>
  </si>
  <si>
    <t>Compound density and Shore hardness absent</t>
  </si>
  <si>
    <t>Full assembly sequence</t>
  </si>
  <si>
    <t>GA/QAP/notes and shop method confirmation required</t>
  </si>
  <si>
    <t>SP40 Drawing Basis</t>
  </si>
  <si>
    <t>Traceability register for the 25-page SP40 MED Train 1 drawing package, including exact design facts, drawing-required operations and unresolved controls.</t>
  </si>
  <si>
    <t>PROPOSED PLANNING BASELINE — NOT APPROVED. Durations and ownership are working estimates for Production Head/PPC review; revise from actual shop records before tracker load.</t>
  </si>
  <si>
    <t>Whole-equipment stages for a fixed-tubesheet / MED-type heat exchanger. Includes SP40-specific fabricated tubesheets and grommeted titanium tube assembly; optional rules identify other HE configurations.</t>
  </si>
  <si>
    <t>PROPOSED</t>
  </si>
  <si>
    <t>Fixed tubesheet / MED evaporator</t>
  </si>
  <si>
    <t>Review PO, scope, specification, delivery and commercial requirements</t>
  </si>
  <si>
    <t>Planning estimate; Production Head/PPC approval required</t>
  </si>
  <si>
    <t>Internal kick-off, client/PIM, ITP/QAP and responsibility matrix</t>
  </si>
  <si>
    <t>Planning estimate</t>
  </si>
  <si>
    <t>Thermal &amp; Mechanical Design</t>
  </si>
  <si>
    <t>Thermal rating, pressure design, tube count, vibration and support checks</t>
  </si>
  <si>
    <t>Manufacturing Drawings</t>
  </si>
  <si>
    <t>GA, tubesheet layout, bundle, nozzle, support and weld details</t>
  </si>
  <si>
    <t>Submission, comments, revision and approval</t>
  </si>
  <si>
    <t>BOM, MTO &amp; Route Release</t>
  </si>
  <si>
    <t>Finalize BOM/MTO, cutting plans, route and work packs</t>
  </si>
  <si>
    <t>4, 5</t>
  </si>
  <si>
    <t>May overlap approval only with documented risk release</t>
  </si>
  <si>
    <t>Plate Procurement</t>
  </si>
  <si>
    <t>Shell, head, baffle, saddle and fabricated tubesheet plate</t>
  </si>
  <si>
    <t>Tube Procurement</t>
  </si>
  <si>
    <t>Heat-exchanger tubes and certificates</t>
  </si>
  <si>
    <t>Titanium/alloy tube lead time is project-specific</t>
  </si>
  <si>
    <t>Forging / Pipe / Flange Procurement</t>
  </si>
  <si>
    <t>Nozzle necks, flanges, forgings and fittings</t>
  </si>
  <si>
    <t>Gaskets, fasteners, grommets, instruments and nameplate</t>
  </si>
  <si>
    <t>GRN, MTC review, visual and dimensional receipt inspection</t>
  </si>
  <si>
    <t>7, 8, 9, 10</t>
  </si>
  <si>
    <t>May be repeated by material lot</t>
  </si>
  <si>
    <t>PMI where required, heat-number transfer and traceability records</t>
  </si>
  <si>
    <t>Cut shell, heads, baffles, saddles and tubesheet components</t>
  </si>
  <si>
    <t>Shell Rolling &amp; Long-Seam Fit-Up</t>
  </si>
  <si>
    <t>Roll shell courses, align and fit longitudinal seams</t>
  </si>
  <si>
    <t>Shell Long-Seam Welding</t>
  </si>
  <si>
    <t>Weld longitudinal seams to approved WPS</t>
  </si>
  <si>
    <t>Shell-Seam NDE &amp; Dimensional Check</t>
  </si>
  <si>
    <t>Specified RT/UT/PT plus roundness and dimensional checks</t>
  </si>
  <si>
    <t>Extent per ITP/QAP</t>
  </si>
  <si>
    <t>Head Forming &amp; Inspection</t>
  </si>
  <si>
    <t>Cold/hot form heads, trim, profile and examine</t>
  </si>
  <si>
    <t>SP40 requires cold forming and full DP both sides</t>
  </si>
  <si>
    <t>Tubesheet Fabrication / Weld Assembly</t>
  </si>
  <si>
    <t>Prepare segments/plates, fit and weld fabricated tubesheets</t>
  </si>
  <si>
    <t>Only for fabricated or segmental tubesheets</t>
  </si>
  <si>
    <t>Not used for one-piece forged tubesheets</t>
  </si>
  <si>
    <t>Tubesheet Pre-Drill NDE</t>
  </si>
  <si>
    <t>Complete required NDE of tubesheet welds before drilling</t>
  </si>
  <si>
    <t>When tubesheet is fabricated/welded</t>
  </si>
  <si>
    <t>SP40 requires 100% RT before drilling</t>
  </si>
  <si>
    <t>Tubesheet Machining &amp; Drilling</t>
  </si>
  <si>
    <t>Face, drill/ream tube holes, machine grooves and deburr</t>
  </si>
  <si>
    <t>12, 19</t>
  </si>
  <si>
    <t>For forged tubesheet predecessor 12; fabricated predecessor 19</t>
  </si>
  <si>
    <t>Tubesheet Final Inspection</t>
  </si>
  <si>
    <t>Hole size/pitch, finish, flatness, thickness and dimensional checks</t>
  </si>
  <si>
    <t>Baffle / Support Plate Fabrication</t>
  </si>
  <si>
    <t>Cut, drill/machine, deburr and inspect baffles/support plates</t>
  </si>
  <si>
    <t>When bundle has baffles or support plates</t>
  </si>
  <si>
    <t>Nozzle &amp; Flange Preparation</t>
  </si>
  <si>
    <t>Cut necks, machine flanges, bevel and inspect</t>
  </si>
  <si>
    <t>Shell Course Assembly</t>
  </si>
  <si>
    <t>Join shell courses and complete circumferential seams</t>
  </si>
  <si>
    <t>Head-to-Shell Assembly</t>
  </si>
  <si>
    <t>Fit and weld heads/closures to shell</t>
  </si>
  <si>
    <t>17, 24</t>
  </si>
  <si>
    <t>Nozzle Fit-Up &amp; Welding</t>
  </si>
  <si>
    <t>Mark, cut openings, fit and weld nozzles/reinforcement</t>
  </si>
  <si>
    <t>23, 25</t>
  </si>
  <si>
    <t>Supports &amp; External Attachments</t>
  </si>
  <si>
    <t>Fit/weld saddles, clips, lugs and other attachments</t>
  </si>
  <si>
    <t>Post-Weld NDE / PWHT</t>
  </si>
  <si>
    <t>NDE and PWHT where required by code/material/thickness</t>
  </si>
  <si>
    <t>26, 27</t>
  </si>
  <si>
    <t>As required by code, material, thickness, service or QAP</t>
  </si>
  <si>
    <t>PWHT operation remains subject to approval</t>
  </si>
  <si>
    <t>Bundle Frame Assembly</t>
  </si>
  <si>
    <t>Assemble tie rods, baffles/support plates and bundle framework</t>
  </si>
  <si>
    <t>21, 22</t>
  </si>
  <si>
    <t>For removable or framed tube bundles</t>
  </si>
  <si>
    <t>MED arrangement may assemble directly between tubesheets</t>
  </si>
  <si>
    <t>Grommet / Tube-Hole Preparation</t>
  </si>
  <si>
    <t>Clean holes and install approved grommets or prepare expansion grooves</t>
  </si>
  <si>
    <t>For grommeted or mechanically expanded tube joints</t>
  </si>
  <si>
    <t>SP40 uses food-grade EPDM grommets</t>
  </si>
  <si>
    <t>Tube Cutting, Cleaning &amp; Inspection</t>
  </si>
  <si>
    <t>Cut tubes to length, clean, identify and inspect</t>
  </si>
  <si>
    <t>8, 12</t>
  </si>
  <si>
    <t>Tube Insertion / Bundle Assembly</t>
  </si>
  <si>
    <t>Insert tubes through tubesheets, baffles and grommets</t>
  </si>
  <si>
    <t>29, 30, 31</t>
  </si>
  <si>
    <t>Tube Expansion / Seal Welding</t>
  </si>
  <si>
    <t>Expand and/or seal weld tube ends to approved procedure</t>
  </si>
  <si>
    <t>When the approved tube joint requires expansion or seal welding</t>
  </si>
  <si>
    <t>Not stated for SP40 grommeted joint</t>
  </si>
  <si>
    <t>Tube Joint / Bundle Inspection</t>
  </si>
  <si>
    <t>Visual, dimensional, mock-up/pull-out or leak checks per QAP</t>
  </si>
  <si>
    <t>32, 33</t>
  </si>
  <si>
    <t>Use predecessor 32 when stage 33 is not applicable</t>
  </si>
  <si>
    <t>Bundle Insertion / Tubesheet Fit-Up</t>
  </si>
  <si>
    <t>Insert removable bundle or fit tubesheet/bundle into shell</t>
  </si>
  <si>
    <t>25, 34</t>
  </si>
  <si>
    <t>Sequence depends on fixed/removable bundle construction</t>
  </si>
  <si>
    <t>For fixed tubesheet units this may be progressive assembly</t>
  </si>
  <si>
    <t>Channel / Bonnet Assembly</t>
  </si>
  <si>
    <t>Fit channels, bonnets, pass partitions, gaskets and bolting</t>
  </si>
  <si>
    <t>26, 35</t>
  </si>
  <si>
    <t>Final Internal Inspection &amp; Closure</t>
  </si>
  <si>
    <t>Cleanliness, internals, tube ends, pass partition and closure checks</t>
  </si>
  <si>
    <t>Shell-Side Hydrostatic Test</t>
  </si>
  <si>
    <t>Fill, vent, pressurize, hold, inspect and drain shell side</t>
  </si>
  <si>
    <t>Test pressure/hold time per approved drawing and QAP</t>
  </si>
  <si>
    <t>Tube-Side Hydrostatic Test</t>
  </si>
  <si>
    <t>Fill, vent, pressurize, hold, inspect and drain tube side</t>
  </si>
  <si>
    <t>Separate report required</t>
  </si>
  <si>
    <t>Surface Treatment / Painting</t>
  </si>
  <si>
    <t>Surface preparation, coating, DFT checks and touch-up</t>
  </si>
  <si>
    <t>As required by material, service and paint specification</t>
  </si>
  <si>
    <t>Stainless/titanium surfaces may require cleaning/passivation instead</t>
  </si>
  <si>
    <t>Final Inspection, MDR &amp; Release</t>
  </si>
  <si>
    <t>Final dimensions, nameplate, punch closure, MDR and release note</t>
  </si>
  <si>
    <t>39, 40</t>
  </si>
  <si>
    <t>Use predecessor 39 when stage 40 is not applicable</t>
  </si>
  <si>
    <t>Packing &amp; Dispatch</t>
  </si>
  <si>
    <t>Preservation, packing, loading and dispatch documentation</t>
  </si>
  <si>
    <t>Per material lot</t>
  </si>
  <si>
    <t>PO/BOM, packing list and visible condition acceptable</t>
  </si>
  <si>
    <t>GRN / incoming inspection record</t>
  </si>
  <si>
    <t>PROPOSED TIME / STAGE — validate by time study and approve before tracker load.</t>
  </si>
  <si>
    <t>Material specification, grade, heat/lot and traceability match PO/BOM</t>
  </si>
  <si>
    <t>MTC review / PMI / traceability record</t>
  </si>
  <si>
    <t>Per metre of cut</t>
  </si>
  <si>
    <t>Cut size and identification meet approved drawing/cutting plan</t>
  </si>
  <si>
    <t>Cutting report / material traceability</t>
  </si>
  <si>
    <t>Per metre of edge</t>
  </si>
  <si>
    <t>Bevel geometry and cleanliness meet drawing/WPS</t>
  </si>
  <si>
    <t>Fit-up / bevel inspection report</t>
  </si>
  <si>
    <t>Diameter, roundness and straightness within approved drawing tolerance</t>
  </si>
  <si>
    <t>Dimensional inspection report</t>
  </si>
  <si>
    <t>Alignment, root gap, offset and orientation meet WPS/drawing</t>
  </si>
  <si>
    <t>Weld completed to approved WPS by qualified welder; visual acceptable</t>
  </si>
  <si>
    <t>Weld log / WPS / WPQ</t>
  </si>
  <si>
    <t>Specified method and extent accepted to applicable code/QAP</t>
  </si>
  <si>
    <t>Visual and dimensional results meet approved drawing/QAP</t>
  </si>
  <si>
    <t>Dimensional / final inspection report</t>
  </si>
  <si>
    <t>Profile, minimum thickness and dimensions meet drawing/code</t>
  </si>
  <si>
    <t>Forming and thickness/profile report</t>
  </si>
  <si>
    <t>Surface smooth, defect-free and blended without under-thickness</t>
  </si>
  <si>
    <t>Visual inspection record</t>
  </si>
  <si>
    <t>Dimensions, tolerances and surface finish meet approved drawing</t>
  </si>
  <si>
    <t>Machining inspection report</t>
  </si>
  <si>
    <t>Precise Engineers</t>
  </si>
  <si>
    <t>Pending – Production Head</t>
  </si>
  <si>
    <t>PROPOSED HE ASSEMBLY</t>
  </si>
  <si>
    <t>S1</t>
  </si>
  <si>
    <t>Shell Course Sub-Assembly</t>
  </si>
  <si>
    <t>Fit shell course longitudinal seam</t>
  </si>
  <si>
    <t>Shell course fitted</t>
  </si>
  <si>
    <t>Proposed baseline; confirm weld map and sequence</t>
  </si>
  <si>
    <t>Weld shell course longitudinal seam</t>
  </si>
  <si>
    <t>Welded shell course</t>
  </si>
  <si>
    <t>Proposed baseline</t>
  </si>
  <si>
    <t>NDE and dimensional inspection of longitudinal seam</t>
  </si>
  <si>
    <t>Accepted shell course</t>
  </si>
  <si>
    <t>NDE extent per approved ITP/QAP</t>
  </si>
  <si>
    <t>S2</t>
  </si>
  <si>
    <t>Shell Assembly</t>
  </si>
  <si>
    <t>Fit and weld shell courses into complete shell</t>
  </si>
  <si>
    <t>Accepted shell courses</t>
  </si>
  <si>
    <t>Complete shell</t>
  </si>
  <si>
    <t>CS-1…n</t>
  </si>
  <si>
    <t>Use actual weld joint numbers from job weld map</t>
  </si>
  <si>
    <t>H1</t>
  </si>
  <si>
    <t>Head / Shell Assembly</t>
  </si>
  <si>
    <t>Fit and weld formed heads to shell</t>
  </si>
  <si>
    <t>Complete shell + HED-01</t>
  </si>
  <si>
    <t>Shell with heads</t>
  </si>
  <si>
    <t>CS-H1 / CS-H2</t>
  </si>
  <si>
    <t>Head arrangement per approved drawing</t>
  </si>
  <si>
    <t>N1</t>
  </si>
  <si>
    <t>Nozzle Sub-Assembly</t>
  </si>
  <si>
    <t>Fit nozzle flange to nozzle neck</t>
  </si>
  <si>
    <t>NOZ-01 + FLG-01</t>
  </si>
  <si>
    <t>Flanged nozzle sub-assembly</t>
  </si>
  <si>
    <t>NW-1…n</t>
  </si>
  <si>
    <t>Conditional if flange is welded to neck</t>
  </si>
  <si>
    <t>N2</t>
  </si>
  <si>
    <t>Nozzle Installation</t>
  </si>
  <si>
    <t>Fit and weld nozzle sub-assemblies to shell/head</t>
  </si>
  <si>
    <t>Flanged nozzle sub-assembly + shell/head</t>
  </si>
  <si>
    <t>Pressure-part shell assembly</t>
  </si>
  <si>
    <t>NS-1…n</t>
  </si>
  <si>
    <t>Orientation/projection per approved drawing</t>
  </si>
  <si>
    <t>P1</t>
  </si>
  <si>
    <t>Support Assembly</t>
  </si>
  <si>
    <t>Fit and weld saddles/supports to shell</t>
  </si>
  <si>
    <t>Pressure-part shell assembly + SAD-01</t>
  </si>
  <si>
    <t>Supported shell assembly</t>
  </si>
  <si>
    <t>SW-1…n</t>
  </si>
  <si>
    <t>Include PTFE sliding sheet where specified</t>
  </si>
  <si>
    <t>T1</t>
  </si>
  <si>
    <t>Tubesheet Assembly</t>
  </si>
  <si>
    <t>Fit tubesheets to shell or bundle location</t>
  </si>
  <si>
    <t>Supported shell assembly + TSH-01</t>
  </si>
  <si>
    <t>Shell/tubesheet assembly</t>
  </si>
  <si>
    <t>TS-1 / TS-2</t>
  </si>
  <si>
    <t>Exact sequence depends on fixed/removable construction</t>
  </si>
  <si>
    <t>B1</t>
  </si>
  <si>
    <t>Baffle / Support Frame</t>
  </si>
  <si>
    <t>Assemble baffles/support plates at design spacing</t>
  </si>
  <si>
    <t>BAF-01 + tie/support members</t>
  </si>
  <si>
    <t>Baffle/support frame</t>
  </si>
  <si>
    <t>Conditional when baffles/support plates are used</t>
  </si>
  <si>
    <t>T2</t>
  </si>
  <si>
    <t>Tube Joint Preparation</t>
  </si>
  <si>
    <t>Clean tube holes and install grommets or prepare grooves</t>
  </si>
  <si>
    <t>TSH-01 + job-specific grommets</t>
  </si>
  <si>
    <t>Prepared tubesheets</t>
  </si>
  <si>
    <t>SP40 uses EPDM grommets; other designs may use expansion grooves</t>
  </si>
  <si>
    <t>T3</t>
  </si>
  <si>
    <t>Tube Bundle Assembly</t>
  </si>
  <si>
    <t>Insert tubes through tubesheets and baffles/supports</t>
  </si>
  <si>
    <t>TUB-01 + prepared tubesheets + baffle frame</t>
  </si>
  <si>
    <t>Inserted tube bundle</t>
  </si>
  <si>
    <t>Protect tube surfaces and verify effective length</t>
  </si>
  <si>
    <t>T4</t>
  </si>
  <si>
    <t>Tube Joint Completion</t>
  </si>
  <si>
    <t>Expand and/or seal weld tube ends when specified</t>
  </si>
  <si>
    <t>Completed tube joints</t>
  </si>
  <si>
    <t>TJ-1…n</t>
  </si>
  <si>
    <t>Conditional; not assumed for SP40 grommeted joint</t>
  </si>
  <si>
    <t>T5</t>
  </si>
  <si>
    <t>Bundle Inspection</t>
  </si>
  <si>
    <t>Inspect tube joints, tube projection and bundle dimensions</t>
  </si>
  <si>
    <t>Completed/inserted tube bundle</t>
  </si>
  <si>
    <t>Accepted bundle</t>
  </si>
  <si>
    <t>Test/inspection method per approved QAP</t>
  </si>
  <si>
    <t>C1</t>
  </si>
  <si>
    <t>Closure Assembly</t>
  </si>
  <si>
    <t>Fit channel/bonnet closures with gaskets</t>
  </si>
  <si>
    <t>Shell/tubesheet assembly + GAS-01</t>
  </si>
  <si>
    <t>Closed exchanger</t>
  </si>
  <si>
    <t>Gasket type and orientation per drawing</t>
  </si>
  <si>
    <t>Install studs and nuts using approved tightening sequence</t>
  </si>
  <si>
    <t>Closed exchanger + STD-01</t>
  </si>
  <si>
    <t>Bolted exchanger</t>
  </si>
  <si>
    <t>Lubrication and torque/tension per approved procedure</t>
  </si>
  <si>
    <t>Q1</t>
  </si>
  <si>
    <t>Final Internal Inspection</t>
  </si>
  <si>
    <t>Verify cleanliness, internals, tube ends and closure readiness</t>
  </si>
  <si>
    <t>Released for pressure test</t>
  </si>
  <si>
    <t>Inspection release required before hydrotest</t>
  </si>
  <si>
    <t>Q2</t>
  </si>
  <si>
    <t>Shell-Side Hydrotest</t>
  </si>
  <si>
    <t>Perform shell-side hydrostatic test</t>
  </si>
  <si>
    <t>Released exchanger</t>
  </si>
  <si>
    <t>Shell-side test accepted</t>
  </si>
  <si>
    <t>Pressure/hold time per approved drawing/QAP</t>
  </si>
  <si>
    <t>Q3</t>
  </si>
  <si>
    <t>Tube-Side Hydrotest</t>
  </si>
  <si>
    <t>Perform tube-side hydrostatic test</t>
  </si>
  <si>
    <t>Tube-side test accepted</t>
  </si>
  <si>
    <t>Separate test report required</t>
  </si>
  <si>
    <t>F1</t>
  </si>
  <si>
    <t>Complete Equipment</t>
  </si>
  <si>
    <t>Final inspection, nameplate, MDR release and dispatch preparation</t>
  </si>
  <si>
    <t>Complete heat exchanger</t>
  </si>
  <si>
    <t>Production Head/PPC approval required before tracker load</t>
  </si>
  <si>
    <t>All materials used in the pilot/source BOMs. Density is in g/cm³; supplier-specific gasket, packing and elastomer compounds are highlighted as nominal planning values.</t>
  </si>
  <si>
    <t>REFERENCE</t>
  </si>
  <si>
    <t>Nominal carbon-steel density for theoretical weight; confirm MTC</t>
  </si>
  <si>
    <t>Fitting</t>
  </si>
  <si>
    <t>Plate / forging</t>
  </si>
  <si>
    <t>Nominal naval-brass value; verify exact product/MTC</t>
  </si>
  <si>
    <t>Nominal admiralty-brass value; verify exact product/MTC</t>
  </si>
  <si>
    <t>Grade designation requires engineering confirmation; temporary nominal brass value</t>
  </si>
  <si>
    <t>Plate / structural</t>
  </si>
  <si>
    <t>Nominal carbon-steel density for theoretical weight; confirm certificate</t>
  </si>
  <si>
    <t>Plate / sheet</t>
  </si>
  <si>
    <t>Typical 304 stainless density; confirm grade certificate</t>
  </si>
  <si>
    <t>Winding strip</t>
  </si>
  <si>
    <t>Metal-strip density only; complete gasket weight must use catalogue/supplier weight</t>
  </si>
  <si>
    <t>NOMINAL — VERIFY</t>
  </si>
  <si>
    <t>Weld deposit</t>
  </si>
  <si>
    <t>Nominal planning value; alloy classification and consumable certificate required</t>
  </si>
  <si>
    <t>Casting / anode</t>
  </si>
  <si>
    <t>Typical zinc density; use supplier net weight for finished anode</t>
  </si>
  <si>
    <t>Stud / bar</t>
  </si>
  <si>
    <t>Nominal alloy-steel density; confirm MTC</t>
  </si>
  <si>
    <t>Nominal alloy-steel density; catalogue weight preferred for finished nuts</t>
  </si>
  <si>
    <t>Packing</t>
  </si>
  <si>
    <t>Bulk/finished density varies by braid and impregnation; supplier datasheet overrides</t>
  </si>
  <si>
    <t>Elastomer</t>
  </si>
  <si>
    <t>Compound-specific nominal value; supplier datasheet overrides</t>
  </si>
  <si>
    <t>Gasket sheet</t>
  </si>
  <si>
    <t>Product-specific nominal value; supplier datasheet overrides</t>
  </si>
  <si>
    <t>SP40 basis value; confirm MTC</t>
  </si>
  <si>
    <t>Duplex S32205 family nominal value; confirm MTC</t>
  </si>
  <si>
    <t>316-family stainless nominal value; confirm MTC</t>
  </si>
  <si>
    <t>316-family stainless nominal value; catalogue weight preferred</t>
  </si>
  <si>
    <t>Typical 316L stainless density; catalogue weight preferred</t>
  </si>
  <si>
    <t>Titanium Grade 2 typical density; confirm MTC</t>
  </si>
  <si>
    <t>Compound-specific nominal value; approved supplier datasheet and food-grade certificate required</t>
  </si>
  <si>
    <t>Typical unfilled PTFE density; filled grade/supplier datasheet overrides</t>
  </si>
  <si>
    <t>Borosilicate 3.3 reference density; verify purchased glass grade</t>
  </si>
  <si>
    <t>Fixed list has no forging operation; decide whether vendor process is tracked or only Receipt is used.</t>
  </si>
  <si>
    <t>Production Head decision required</t>
  </si>
  <si>
    <t>Cleaning after cutting is not clearly covered by a fixed operation.</t>
  </si>
  <si>
    <t>Cleaning record</t>
  </si>
  <si>
    <t>Confirm whether separate tracking is required</t>
  </si>
  <si>
    <t>Fixed list has no engraving/marking operation.</t>
  </si>
  <si>
    <t>Assembly Check is an inspection gate, not installation work.</t>
  </si>
  <si>
    <t>Tube Bundle Assembly / Tube Insertion</t>
  </si>
  <si>
    <t>TUB-01, TSH-01, BAF-01</t>
  </si>
  <si>
    <t>Fixed list has Tube Expansion but no tube insertion/bundle assembly operation.</t>
  </si>
  <si>
    <t>Bundle assembly record</t>
  </si>
  <si>
    <t>Could be approved under Installation instead of a separate operation</t>
  </si>
  <si>
    <t>Tube Joint Leak Test</t>
  </si>
  <si>
    <t>TUB-01, TSH-01</t>
  </si>
  <si>
    <t>NDT does not clearly represent pneumatic/leak testing of tube joints.</t>
  </si>
  <si>
    <t>Tube leak test report</t>
  </si>
  <si>
    <t>Define method and acceptance by HE type/QAP</t>
  </si>
  <si>
    <t>Controlled Bolting / Torqueing</t>
  </si>
  <si>
    <t>Bolt torque/tension record</t>
  </si>
  <si>
    <t>Passivation / Chemical Cleaning</t>
  </si>
  <si>
    <t>S32205 / titanium pressure parts</t>
  </si>
  <si>
    <t>Surface Preparation / Blasting does not cover chemical cleaning/passivation.</t>
  </si>
  <si>
    <t>Cleaning/passivation report</t>
  </si>
  <si>
    <t>Define alloy- and service-specific requirement</t>
  </si>
  <si>
    <t>PROPOSED REVIEW BASELINE — 10 pilot parts, 73 routes and 42 HE stages are filled; no time, stage, route or part is approved until signed by the Production Head/PPC.</t>
  </si>
  <si>
    <t>HOLD – Production Head approval pending</t>
  </si>
  <si>
    <t>Orange cells</t>
  </si>
  <si>
    <t>Proposed planning value or approval-sensitive control. Validate before tracker load.</t>
  </si>
  <si>
    <t>Drawing requirement; proposed stage/time entered – approval pending</t>
  </si>
  <si>
    <t>No expansion/seal weld stated; assembly stage mapped, joint method remains open</t>
  </si>
  <si>
    <t>Part definition confirmed; proposed route mapping/time requires approval</t>
  </si>
  <si>
    <t>Compound data and supplier certification pending</t>
  </si>
  <si>
    <t>Retention method approval pending; proposed assembly stage entered</t>
  </si>
  <si>
    <t>PV DRAWING BASIS — HP AIR RECEIVER BLOW DOWN SYSTEM</t>
  </si>
  <si>
    <t>Approved GA drawing source. Light-yellow rows are drawing-backed; orange cells are uncertain or require shop/Production Head confirmation.</t>
  </si>
  <si>
    <t>Field</t>
  </si>
  <si>
    <t>Drawing No.</t>
  </si>
  <si>
    <t>51G2-E-ELM-HCA-DM-D-V-4006</t>
  </si>
  <si>
    <t>Revision / Sheet</t>
  </si>
  <si>
    <t>C / Sheets 1 and 2 of 2</t>
  </si>
  <si>
    <t>Drawing title</t>
  </si>
  <si>
    <t>General Arrangement Drawing – HP Air Receiver Blow Down System</t>
  </si>
  <si>
    <t>Chitravathi Pumped Storage Project (500 MW)</t>
  </si>
  <si>
    <t>PO / Job</t>
  </si>
  <si>
    <t>4504443598 / DE0423</t>
  </si>
  <si>
    <t>Quantity / Serial Nos.</t>
  </si>
  <si>
    <t>03 Nos. / DE0423-01 to DE0423-03</t>
  </si>
  <si>
    <t>Approval</t>
  </si>
  <si>
    <t>APPROVED – May 23, 2025</t>
  </si>
  <si>
    <t>Manufacturer</t>
  </si>
  <si>
    <t>Dhruv EPC Solutions Pvt. Ltd.</t>
  </si>
  <si>
    <t>Design code</t>
  </si>
  <si>
    <t>ASME Section VIII Division 1, Edition 2023</t>
  </si>
  <si>
    <t>Configuration</t>
  </si>
  <si>
    <t>Vertical pressure vessel; 2345 mm ID × 5496 mm overall length; capacity 20 m³</t>
  </si>
  <si>
    <t>Design pressure / temperature</t>
  </si>
  <si>
    <t>44 bar(g) / -20 to +50 °C</t>
  </si>
  <si>
    <t>Corrosion allowance / RT</t>
  </si>
  <si>
    <t>1.5 mm / 100% all butt welds</t>
  </si>
  <si>
    <t>Hydrotest</t>
  </si>
  <si>
    <t>66–66.5 kg/cm²(g) at top, horizontal; 18–48 °C; 30 min hold</t>
  </si>
  <si>
    <t>Heat treatment</t>
  </si>
  <si>
    <t>Post-forming heat treatment: Yes; PWHT: Yes</t>
  </si>
  <si>
    <t>Cyclic service</t>
  </si>
  <si>
    <t>150,000 cycles; 8 cycles/day; pressure fluctuations 40–70 bar</t>
  </si>
  <si>
    <t>Weights</t>
  </si>
  <si>
    <t>Empty 19,266 kg; Operating 20,265 kg; Hydrotest 39,261 kg</t>
  </si>
  <si>
    <t>NOZZLE SCHEDULE</t>
  </si>
  <si>
    <t>Qty</t>
  </si>
  <si>
    <t>Size</t>
  </si>
  <si>
    <t>Pipe Sch / Thk</t>
  </si>
  <si>
    <t>Flange / Type / Face</t>
  </si>
  <si>
    <t>Service</t>
  </si>
  <si>
    <t>Projection / Pad</t>
  </si>
  <si>
    <t>DN25 / 1 in</t>
  </si>
  <si>
    <t>14.22 mm</t>
  </si>
  <si>
    <t>Class 300 LWN RF</t>
  </si>
  <si>
    <t>Inlet</t>
  </si>
  <si>
    <t>1430; R-pad 25 × 75</t>
  </si>
  <si>
    <t>Drawing schedule</t>
  </si>
  <si>
    <t>XXS / 9.09 mm</t>
  </si>
  <si>
    <t>Drain</t>
  </si>
  <si>
    <t>See drawing</t>
  </si>
  <si>
    <t>N3</t>
  </si>
  <si>
    <t>DN125 / 5 in</t>
  </si>
  <si>
    <t>Sch 160 / 15.88 mm</t>
  </si>
  <si>
    <t>Class 300 WN RF</t>
  </si>
  <si>
    <t>Outlet</t>
  </si>
  <si>
    <t>SRN</t>
  </si>
  <si>
    <t>N4</t>
  </si>
  <si>
    <t>1/2 in</t>
  </si>
  <si>
    <t>6000# BSP F</t>
  </si>
  <si>
    <t>Pressure gauge</t>
  </si>
  <si>
    <t>Refer detail</t>
  </si>
  <si>
    <t>N5</t>
  </si>
  <si>
    <t>Pressure transmitter</t>
  </si>
  <si>
    <t>N6</t>
  </si>
  <si>
    <t>Safety valve</t>
  </si>
  <si>
    <t>M1</t>
  </si>
  <si>
    <t>DN450 / 18 in</t>
  </si>
  <si>
    <t>Sch 60 / 19.05 mm</t>
  </si>
  <si>
    <t>Manhole</t>
  </si>
  <si>
    <t>SRN with blind flange</t>
  </si>
  <si>
    <t>ITEM</t>
  </si>
  <si>
    <t>DESCRIPTION</t>
  </si>
  <si>
    <t>QTY</t>
  </si>
  <si>
    <t>MATERIAL / SPEC</t>
  </si>
  <si>
    <t>SIZE / DIMENSIONS</t>
  </si>
  <si>
    <t>WT (kg)</t>
  </si>
  <si>
    <t>MASTER CODE</t>
  </si>
  <si>
    <t>SOURCE / CONTROL</t>
  </si>
  <si>
    <t>SA 516 Gr.70</t>
  </si>
  <si>
    <t>45T × 3750W × 7509 developed length</t>
  </si>
  <si>
    <t>Sheet 1 BOM; confirmed</t>
  </si>
  <si>
    <t>Top &amp; Bottom Dished End</t>
  </si>
  <si>
    <t>45T nominal × 2925 blank diameter</t>
  </si>
  <si>
    <t>Skirt Shell</t>
  </si>
  <si>
    <t>16T × 837W × 7499 developed length</t>
  </si>
  <si>
    <t>SKT-01</t>
  </si>
  <si>
    <t>Sheet 2 BOM; confirmed</t>
  </si>
  <si>
    <t>Skirt Base Ring</t>
  </si>
  <si>
    <t>IS 2062 E250B</t>
  </si>
  <si>
    <t>32T × 2240 ID × 2700 OD</t>
  </si>
  <si>
    <t>SBR-01</t>
  </si>
  <si>
    <t>12T × 150W × 151 length</t>
  </si>
  <si>
    <t>GSP-02</t>
  </si>
  <si>
    <t>Earthing Plate</t>
  </si>
  <si>
    <t>12T × 75W × 75 length</t>
  </si>
  <si>
    <t>ERT-01</t>
  </si>
  <si>
    <t>Flange N1</t>
  </si>
  <si>
    <t>1 in ID × 14.22T × Class 300 WNRF × 285 length</t>
  </si>
  <si>
    <t>205A</t>
  </si>
  <si>
    <t>Reinforcement Pad N1</t>
  </si>
  <si>
    <t>25T × 204 OD × 57 ID × final dimension unclear</t>
  </si>
  <si>
    <t>RFP-02</t>
  </si>
  <si>
    <t>Sheet 2 BOM; one dimension requires drawing check</t>
  </si>
  <si>
    <t>Flange N2</t>
  </si>
  <si>
    <t>DN25 × Sch XXS × Class 300 WNRF</t>
  </si>
  <si>
    <t>Nozzle Pipe N2</t>
  </si>
  <si>
    <t>SA 333 Gr.6</t>
  </si>
  <si>
    <t>DN25 × Sch XXS × 1350 length</t>
  </si>
  <si>
    <t>Rev. C changes MOC; confirmed</t>
  </si>
  <si>
    <t>Nozzle Elbow N2</t>
  </si>
  <si>
    <t>SA 234 WPB</t>
  </si>
  <si>
    <t>DN25 × Sch XXS × 90° LR</t>
  </si>
  <si>
    <t>ELB-01</t>
  </si>
  <si>
    <t>DN25 × Sch XXS × 130 length</t>
  </si>
  <si>
    <t>Stiffener N2</t>
  </si>
  <si>
    <t>6T × 50W × 290 length</t>
  </si>
  <si>
    <t>STF-01</t>
  </si>
  <si>
    <t>Weight cell unclear; drawing check required</t>
  </si>
  <si>
    <t>Support Pipe N2</t>
  </si>
  <si>
    <t>SA 106 Gr.B</t>
  </si>
  <si>
    <t>DN150 × Sch 120 × 115 length</t>
  </si>
  <si>
    <t>SPP-01</t>
  </si>
  <si>
    <t>Stiffener N3</t>
  </si>
  <si>
    <t>6T × 51W × 80 length</t>
  </si>
  <si>
    <t>Flange N3</t>
  </si>
  <si>
    <t>DN125 × Sch 160 × Class 300 WNRF</t>
  </si>
  <si>
    <t>Self-Reinforced Nozzle N3</t>
  </si>
  <si>
    <t>SA 266 Gr.2</t>
  </si>
  <si>
    <t>As per detail</t>
  </si>
  <si>
    <t>SRN-01</t>
  </si>
  <si>
    <t>Coupling with Plug N4 &amp; N5</t>
  </si>
  <si>
    <t>DN15 × 6000# BSP; as per detail</t>
  </si>
  <si>
    <t>CPL-01</t>
  </si>
  <si>
    <t>Flange M1</t>
  </si>
  <si>
    <t>DN450 × Sch 60 × Class 300 WNRF</t>
  </si>
  <si>
    <t>Self-Reinforced Nozzle M1</t>
  </si>
  <si>
    <t>Blind Flange M1</t>
  </si>
  <si>
    <t>DN450 × ASME Class 300 blind RF</t>
  </si>
  <si>
    <t>BFL-01</t>
  </si>
  <si>
    <t>Gasket M1</t>
  </si>
  <si>
    <t>SS316L spiral wound / Grafoil / CS outer ring</t>
  </si>
  <si>
    <t>DN450 × ASME Class 300; ASME B16.20</t>
  </si>
  <si>
    <t>Note 1; catalogue/supplier weight</t>
  </si>
  <si>
    <t>Stud with Two Heavy Hex Nuts</t>
  </si>
  <si>
    <t>SA193 B7 / SA194 2H</t>
  </si>
  <si>
    <t>1-1/4 in UNC × 210 length; full thread</t>
  </si>
  <si>
    <t>Square Bar for Hook</t>
  </si>
  <si>
    <t>Square 28 × 400 developed length</t>
  </si>
  <si>
    <t>HOK-01</t>
  </si>
  <si>
    <t>Eye Bolt</t>
  </si>
  <si>
    <t>Dia 25 × 500 developed length</t>
  </si>
  <si>
    <t>EYE-01</t>
  </si>
  <si>
    <t>Stainless steel</t>
  </si>
  <si>
    <t>1.5T × OD unclear × 26 ID</t>
  </si>
  <si>
    <t>WSH-02</t>
  </si>
  <si>
    <t>OD requires drawing check</t>
  </si>
  <si>
    <t>IS 1367 Class 4</t>
  </si>
  <si>
    <t>M24 standard</t>
  </si>
  <si>
    <t>NUT-02</t>
  </si>
  <si>
    <t>Catalogue weight</t>
  </si>
  <si>
    <t>Hex Lock Nut</t>
  </si>
  <si>
    <t>Support Pipe</t>
  </si>
  <si>
    <t>SA 53 Gr.B / SA106 Gr.B</t>
  </si>
  <si>
    <t>DN65 × Sch 40 × 200 length</t>
  </si>
  <si>
    <t>Exact material line requires certificate check</t>
  </si>
  <si>
    <t>Davit Pipe</t>
  </si>
  <si>
    <t>DN50 × Sch 80 × approx. 1000 developed length</t>
  </si>
  <si>
    <t>DVT-01</t>
  </si>
  <si>
    <t>End Plate for Davit Pipe</t>
  </si>
  <si>
    <t>10T × 50 OD</t>
  </si>
  <si>
    <t>EPL-01</t>
  </si>
  <si>
    <t>End Plate for Support Pipe</t>
  </si>
  <si>
    <t>10T × 60 OD</t>
  </si>
  <si>
    <t>Snap Head Rivet</t>
  </si>
  <si>
    <t>Mild steel</t>
  </si>
  <si>
    <t>Dia 20 × 25 length; refer detail</t>
  </si>
  <si>
    <t>RVT-01</t>
  </si>
  <si>
    <t>Supplier/catalogue weight</t>
  </si>
  <si>
    <t>Rib Plate</t>
  </si>
  <si>
    <t>10T × 50W × 240 length</t>
  </si>
  <si>
    <t>RIB-01</t>
  </si>
  <si>
    <t>Boss for Davit Pipe</t>
  </si>
  <si>
    <t>Dia 80 × 80 length</t>
  </si>
  <si>
    <t>BOS-01</t>
  </si>
  <si>
    <t>Grade to be confirmed from MTC</t>
  </si>
  <si>
    <t>Handle</t>
  </si>
  <si>
    <t>Square 20 × 310 developed length</t>
  </si>
  <si>
    <t>HDL-01</t>
  </si>
  <si>
    <t>Jack Screw</t>
  </si>
  <si>
    <t>M16 × 120 length; refer detail</t>
  </si>
  <si>
    <t>JSC-01</t>
  </si>
  <si>
    <t>235A</t>
  </si>
  <si>
    <t>Access Opening Ring</t>
  </si>
  <si>
    <t>16T × 150W × 1075 developed length</t>
  </si>
  <si>
    <t>AOP-01</t>
  </si>
  <si>
    <t>Same drawing item 235; component line</t>
  </si>
  <si>
    <t>235B</t>
  </si>
  <si>
    <t>Access Opening Cover/Plate</t>
  </si>
  <si>
    <t>16T × 150W × 428 length</t>
  </si>
  <si>
    <t>Nozzle Pipe SV1 to SV4</t>
  </si>
  <si>
    <t>DN100 × Sch 80 × 115 length</t>
  </si>
  <si>
    <t>Pad Plate</t>
  </si>
  <si>
    <t>16T × 200W × 330 developed length</t>
  </si>
  <si>
    <t>PAD-01</t>
  </si>
  <si>
    <t>32T × 230W × 680 length</t>
  </si>
  <si>
    <t>LUG-02</t>
  </si>
  <si>
    <t>Weight basis (total/per item) requires check</t>
  </si>
  <si>
    <t>28T × 500W × 230 length</t>
  </si>
  <si>
    <t>SPL-01</t>
  </si>
  <si>
    <t>Weight basis requires check</t>
  </si>
  <si>
    <t>Tailing Lug</t>
  </si>
  <si>
    <t>32T × 250W × 275 length</t>
  </si>
  <si>
    <t>TLG-01</t>
  </si>
  <si>
    <t>Name Plate Bracket</t>
  </si>
  <si>
    <t>6T × 160 × 350 length</t>
  </si>
  <si>
    <t>NPB-01</t>
  </si>
  <si>
    <t>3T × 150 × 200 length</t>
  </si>
  <si>
    <t>NPL-01</t>
  </si>
  <si>
    <t>Foundation Bolt with Nut &amp; Washer</t>
  </si>
  <si>
    <t>IS 1367 Gr.8.8</t>
  </si>
  <si>
    <t>M36 × 580 length</t>
  </si>
  <si>
    <t>FBL-01</t>
  </si>
  <si>
    <t>Coupling with Plug N6</t>
  </si>
  <si>
    <t>Size/value visually tight; verify before release</t>
  </si>
  <si>
    <t>PV DRAWING SOURCE</t>
  </si>
  <si>
    <t>Thickness, width, developed length, vessel/skirt diameter</t>
  </si>
  <si>
    <t>Drawing item 201; 16T × 837W × 7499 developed length; 789 kg</t>
  </si>
  <si>
    <t>Thickness, ID, OD, bolt-hole count/PCD</t>
  </si>
  <si>
    <t>Drawing item 202; 32T × 2240 ID × 2700 OD; 448 kg</t>
  </si>
  <si>
    <t>Gusset Plate (PV Support)</t>
  </si>
  <si>
    <t>Thickness, width, length, profile, quantity</t>
  </si>
  <si>
    <t>Drawing item 203; qty 32; 12T × 150W × 151 length</t>
  </si>
  <si>
    <t>Thickness, width, length, hole size/count</t>
  </si>
  <si>
    <t>Drawing item 204; qty 2; detail requires four holes</t>
  </si>
  <si>
    <t>Nozzle Reinforcement Pad</t>
  </si>
  <si>
    <t>Thickness, OD, ID, vent-hole size, curvature</t>
  </si>
  <si>
    <t>Drawing item 205A; final dimension unclear in source crop</t>
  </si>
  <si>
    <t>Nozzle Elbow</t>
  </si>
  <si>
    <t>Pipe fitting</t>
  </si>
  <si>
    <t>DN/NPS, schedule, angle, radius</t>
  </si>
  <si>
    <t>Drawing item 208; DN25 Sch XXS 90° LR</t>
  </si>
  <si>
    <t>Nozzle Stiffener</t>
  </si>
  <si>
    <t>Drawing items 210 and 212; item 210 weight unclear</t>
  </si>
  <si>
    <t>Self-Reinforced Nozzle</t>
  </si>
  <si>
    <t>Tag, OD/ID, neck length, flange interface, contour</t>
  </si>
  <si>
    <t>Drawing items 214 and 217; machine as detailed</t>
  </si>
  <si>
    <t>Coupling with Plug</t>
  </si>
  <si>
    <t>DN/NPS, pressure rating, thread, projection</t>
  </si>
  <si>
    <t>Drawing items 215 and 244; DN15 6000# BSP</t>
  </si>
  <si>
    <t>Blind Flange</t>
  </si>
  <si>
    <t>DN/NPS, class, facing, thickness, bolting</t>
  </si>
  <si>
    <t>Drawing item 218; DN450 Class 300 RF; 181 kg</t>
  </si>
  <si>
    <t>Square Bar Hook</t>
  </si>
  <si>
    <t>Square size, developed length, bend radius</t>
  </si>
  <si>
    <t>Drawing item 221; square 28 × 400 developed length</t>
  </si>
  <si>
    <t>Rod diameter, developed length, eye diameter, thread</t>
  </si>
  <si>
    <t>Drawing item 222; dia 25 × 500 developed length</t>
  </si>
  <si>
    <t>Washer (Davit)</t>
  </si>
  <si>
    <t>Thickness, OD, ID, standard</t>
  </si>
  <si>
    <t>Drawing item 223; OD unreadable; supplier confirmation required</t>
  </si>
  <si>
    <t>Hex / Lock Nut (Davit)</t>
  </si>
  <si>
    <t>Thread size, nut type, standard, coating</t>
  </si>
  <si>
    <t>Drawing items 224–225; M24</t>
  </si>
  <si>
    <t>SA 106 Gr.B / SA 53 Gr.B</t>
  </si>
  <si>
    <t>DN/NPS, schedule, cut length, end preparation</t>
  </si>
  <si>
    <t>Drawing items 211 and 226; exact item 226 grade requires MTC check</t>
  </si>
  <si>
    <t>DN/NPS, schedule, developed length, bends</t>
  </si>
  <si>
    <t>Drawing item 227; DN50 Sch 80 approx. 1000 developed length</t>
  </si>
  <si>
    <t>Davit / Support End Plate</t>
  </si>
  <si>
    <t>Thickness, OD, hole size, quantity</t>
  </si>
  <si>
    <t>Drawing items 228–229; OD 50/60</t>
  </si>
  <si>
    <t>Diameter, length, head form, standard</t>
  </si>
  <si>
    <t>Drawing item 230; dia 20 × 25 length</t>
  </si>
  <si>
    <t>Thickness, width, length, profile</t>
  </si>
  <si>
    <t>Drawing item 231; 10T × 50W × 240 length</t>
  </si>
  <si>
    <t>Davit Pipe Boss</t>
  </si>
  <si>
    <t>OD, ID/bore, length, weld prep</t>
  </si>
  <si>
    <t>Drawing item 232; dia 80 × 80 length; grade pending</t>
  </si>
  <si>
    <t>Davit Handle</t>
  </si>
  <si>
    <t>Square size, developed length, bend geometry</t>
  </si>
  <si>
    <t>Drawing item 233; qty 2</t>
  </si>
  <si>
    <t>Thread size, length, head/handle detail</t>
  </si>
  <si>
    <t>Drawing item 234; qty 3; M16 × 120</t>
  </si>
  <si>
    <t>Access Opening Assembly</t>
  </si>
  <si>
    <t>Opening size, ring strip, cover/plate, weld detail</t>
  </si>
  <si>
    <t>Drawing item 235 comprises 1075 developed ring and 428 length plate</t>
  </si>
  <si>
    <t>Attachment Pad Plate</t>
  </si>
  <si>
    <t>Thickness, width, developed length, curvature, vent hole</t>
  </si>
  <si>
    <t>Drawing item 237; qty 2; 16T × 200W × 330 developed length</t>
  </si>
  <si>
    <t>Lifting Lug (PV)</t>
  </si>
  <si>
    <t>Thickness, width, length, hole/contour, SWL</t>
  </si>
  <si>
    <t>Drawing item 238; qty 2; drawing weight basis requires check</t>
  </si>
  <si>
    <t>Lug Support Plate</t>
  </si>
  <si>
    <t>Drawing item 239; qty 2; 28T × 500W × 230 length</t>
  </si>
  <si>
    <t>Drawing item 240; 32T × 250W × 275 length</t>
  </si>
  <si>
    <t>Thickness, width, length, hole pattern</t>
  </si>
  <si>
    <t>Drawing item 241; 6T × 160 × 350 length</t>
  </si>
  <si>
    <t>Thickness, width, length, engraving data, holes</t>
  </si>
  <si>
    <t>Drawing item 242; 3T × 150 × 200 length</t>
  </si>
  <si>
    <t>Thread diameter, length, bend/anchor detail, nut/washer standard</t>
  </si>
  <si>
    <t>Drawing item 243; qty 16; M36 × 580 length</t>
  </si>
  <si>
    <t>Receipt for Skirt Shell to approved drawing/detail</t>
  </si>
  <si>
    <t>PROPOSED TIME / ROUTE — drawing-backed part; validate by shop time study and Production Head approval.</t>
  </si>
  <si>
    <t>MTC Verification / Material Identification for Skirt Shell to approved drawing/detail</t>
  </si>
  <si>
    <t>Specification, grade, heat/lot and traceability match drawing/BOM</t>
  </si>
  <si>
    <t>Cutting / Blanking for Skirt Shell to approved drawing/detail</t>
  </si>
  <si>
    <t>Cutting report / traceability record</t>
  </si>
  <si>
    <t>Edge Preparation / Beveling for Skirt Shell to approved drawing/detail</t>
  </si>
  <si>
    <t>Bevel / fit-up inspection report</t>
  </si>
  <si>
    <t>Rolling for Skirt Shell to approved drawing/detail</t>
  </si>
  <si>
    <t>Diameter, roundness and straightness meet drawing tolerance</t>
  </si>
  <si>
    <t>Fit-up for Skirt Shell to approved drawing/detail</t>
  </si>
  <si>
    <t>Alignment, root gap, orientation and offset meet WPS/drawing</t>
  </si>
  <si>
    <t>Welding for Skirt Shell to approved drawing/detail</t>
  </si>
  <si>
    <t>NDT for Skirt Shell to approved drawing/detail</t>
  </si>
  <si>
    <t>When required by approved QAP/code or for pressure-retaining welds</t>
  </si>
  <si>
    <t>Required RT/PT/MT/UT accepted to code/QAP</t>
  </si>
  <si>
    <t>Inspection for Skirt Shell to approved drawing/detail</t>
  </si>
  <si>
    <t>Visual and dimensional results meet drawing/QAP</t>
  </si>
  <si>
    <t>Receipt for Skirt Base Ring to approved drawing/detail</t>
  </si>
  <si>
    <t>MTC Verification / Material Identification for Skirt Base Ring to approved drawing/detail</t>
  </si>
  <si>
    <t>Cutting / Blanking for Skirt Base Ring to approved drawing/detail</t>
  </si>
  <si>
    <t>Rolling for Skirt Base Ring to approved drawing/detail</t>
  </si>
  <si>
    <t>Machining for Skirt Base Ring to approved drawing/detail</t>
  </si>
  <si>
    <t>Dimensions, thread, holes and finish meet drawing</t>
  </si>
  <si>
    <t>Inspection for Skirt Base Ring to approved drawing/detail</t>
  </si>
  <si>
    <t>Receipt for Gusset Plate (PV Support) to approved drawing/detail</t>
  </si>
  <si>
    <t>MTC Verification / Material Identification for Gusset Plate (PV Support) to approved drawing/detail</t>
  </si>
  <si>
    <t>Cutting / Blanking for Gusset Plate (PV Support) to approved drawing/detail</t>
  </si>
  <si>
    <t>Machining for Gusset Plate (PV Support) to approved drawing/detail</t>
  </si>
  <si>
    <t>Edge Preparation / Beveling for Gusset Plate (PV Support) to approved drawing/detail</t>
  </si>
  <si>
    <t>Inspection for Gusset Plate (PV Support) to approved drawing/detail</t>
  </si>
  <si>
    <t>Receipt for Earthing Plate to approved drawing/detail</t>
  </si>
  <si>
    <t>MTC Verification / Material Identification for Earthing Plate to approved drawing/detail</t>
  </si>
  <si>
    <t>Cutting / Blanking for Earthing Plate to approved drawing/detail</t>
  </si>
  <si>
    <t>Machining for Earthing Plate to approved drawing/detail</t>
  </si>
  <si>
    <t>Edge Preparation / Beveling for Earthing Plate to approved drawing/detail</t>
  </si>
  <si>
    <t>Inspection for Earthing Plate to approved drawing/detail</t>
  </si>
  <si>
    <t>Receipt for Nozzle Reinforcement Pad to approved drawing/detail</t>
  </si>
  <si>
    <t>MTC Verification / Material Identification for Nozzle Reinforcement Pad to approved drawing/detail</t>
  </si>
  <si>
    <t>Cutting / Blanking for Nozzle Reinforcement Pad to approved drawing/detail</t>
  </si>
  <si>
    <t>Rolling for Nozzle Reinforcement Pad to approved drawing/detail</t>
  </si>
  <si>
    <t>Machining for Nozzle Reinforcement Pad to approved drawing/detail</t>
  </si>
  <si>
    <t>Inspection for Nozzle Reinforcement Pad to approved drawing/detail</t>
  </si>
  <si>
    <t>Receipt for Nozzle Elbow to approved drawing/detail</t>
  </si>
  <si>
    <t>MTC Verification / Material Identification for Nozzle Elbow to approved drawing/detail</t>
  </si>
  <si>
    <t>Inspection for Nozzle Elbow to approved drawing/detail</t>
  </si>
  <si>
    <t>Receipt for Nozzle Stiffener to approved drawing/detail</t>
  </si>
  <si>
    <t>MTC Verification / Material Identification for Nozzle Stiffener to approved drawing/detail</t>
  </si>
  <si>
    <t>Cutting / Blanking for Nozzle Stiffener to approved drawing/detail</t>
  </si>
  <si>
    <t>Machining for Nozzle Stiffener to approved drawing/detail</t>
  </si>
  <si>
    <t>Edge Preparation / Beveling for Nozzle Stiffener to approved drawing/detail</t>
  </si>
  <si>
    <t>Inspection for Nozzle Stiffener to approved drawing/detail</t>
  </si>
  <si>
    <t>Receipt for Self-Reinforced Nozzle to approved drawing/detail</t>
  </si>
  <si>
    <t>MTC Verification / Material Identification for Self-Reinforced Nozzle to approved drawing/detail</t>
  </si>
  <si>
    <t>Machining for Self-Reinforced Nozzle to approved drawing/detail</t>
  </si>
  <si>
    <t>Inspection for Self-Reinforced Nozzle to approved drawing/detail</t>
  </si>
  <si>
    <t>Receipt for Coupling with Plug to approved drawing/detail</t>
  </si>
  <si>
    <t>MTC Verification / Material Identification for Coupling with Plug to approved drawing/detail</t>
  </si>
  <si>
    <t>Machining for Coupling with Plug to approved drawing/detail</t>
  </si>
  <si>
    <t>Inspection for Coupling with Plug to approved drawing/detail</t>
  </si>
  <si>
    <t>Receipt for Blind Flange to approved drawing/detail</t>
  </si>
  <si>
    <t>MTC Verification / Material Identification for Blind Flange to approved drawing/detail</t>
  </si>
  <si>
    <t>Inspection for Blind Flange to approved drawing/detail</t>
  </si>
  <si>
    <t>Receipt for Square Bar Hook to approved drawing/detail</t>
  </si>
  <si>
    <t>MTC Verification / Material Identification for Square Bar Hook to approved drawing/detail</t>
  </si>
  <si>
    <t>Cutting / Blanking for Square Bar Hook to approved drawing/detail</t>
  </si>
  <si>
    <t>Forming / Pressing / Dishing for Square Bar Hook to approved drawing/detail</t>
  </si>
  <si>
    <t>Form, radius and dimensions meet approved detail</t>
  </si>
  <si>
    <t>Forming inspection report</t>
  </si>
  <si>
    <t>Inspection for Square Bar Hook to approved drawing/detail</t>
  </si>
  <si>
    <t>Receipt for Eye Bolt to approved drawing/detail</t>
  </si>
  <si>
    <t>MTC Verification / Material Identification for Eye Bolt to approved drawing/detail</t>
  </si>
  <si>
    <t>Cutting / Blanking for Eye Bolt to approved drawing/detail</t>
  </si>
  <si>
    <t>Forming / Pressing / Dishing for Eye Bolt to approved drawing/detail</t>
  </si>
  <si>
    <t>Inspection for Eye Bolt to approved drawing/detail</t>
  </si>
  <si>
    <t>Receipt for Washer (Davit) to approved drawing/detail</t>
  </si>
  <si>
    <t>MTC Verification / Material Identification for Washer (Davit) to approved drawing/detail</t>
  </si>
  <si>
    <t>Inspection for Washer (Davit) to approved drawing/detail</t>
  </si>
  <si>
    <t>Receipt for Hex / Lock Nut (Davit) to approved drawing/detail</t>
  </si>
  <si>
    <t>MTC Verification / Material Identification for Hex / Lock Nut (Davit) to approved drawing/detail</t>
  </si>
  <si>
    <t>Inspection for Hex / Lock Nut (Davit) to approved drawing/detail</t>
  </si>
  <si>
    <t>Receipt for Support Pipe to approved drawing/detail</t>
  </si>
  <si>
    <t>MTC Verification / Material Identification for Support Pipe to approved drawing/detail</t>
  </si>
  <si>
    <t>Cutting / Blanking for Support Pipe to approved drawing/detail</t>
  </si>
  <si>
    <t>Edge Preparation / Beveling for Support Pipe to approved drawing/detail</t>
  </si>
  <si>
    <t>Forming / Pressing / Dishing for Support Pipe to approved drawing/detail</t>
  </si>
  <si>
    <t>When forming/bending is required by the approved detail</t>
  </si>
  <si>
    <t>Inspection for Support Pipe to approved drawing/detail</t>
  </si>
  <si>
    <t>Receipt for Davit Pipe to approved drawing/detail</t>
  </si>
  <si>
    <t>MTC Verification / Material Identification for Davit Pipe to approved drawing/detail</t>
  </si>
  <si>
    <t>Cutting / Blanking for Davit Pipe to approved drawing/detail</t>
  </si>
  <si>
    <t>Edge Preparation / Beveling for Davit Pipe to approved drawing/detail</t>
  </si>
  <si>
    <t>Forming / Pressing / Dishing for Davit Pipe to approved drawing/detail</t>
  </si>
  <si>
    <t>Inspection for Davit Pipe to approved drawing/detail</t>
  </si>
  <si>
    <t>Receipt for Davit / Support End Plate to approved drawing/detail</t>
  </si>
  <si>
    <t>MTC Verification / Material Identification for Davit / Support End Plate to approved drawing/detail</t>
  </si>
  <si>
    <t>Cutting / Blanking for Davit / Support End Plate to approved drawing/detail</t>
  </si>
  <si>
    <t>Machining for Davit / Support End Plate to approved drawing/detail</t>
  </si>
  <si>
    <t>Edge Preparation / Beveling for Davit / Support End Plate to approved drawing/detail</t>
  </si>
  <si>
    <t>Inspection for Davit / Support End Plate to approved drawing/detail</t>
  </si>
  <si>
    <t>Receipt for Snap Head Rivet to approved drawing/detail</t>
  </si>
  <si>
    <t>MTC Verification / Material Identification for Snap Head Rivet to approved drawing/detail</t>
  </si>
  <si>
    <t>Inspection for Snap Head Rivet to approved drawing/detail</t>
  </si>
  <si>
    <t>Receipt for Rib Plate to approved drawing/detail</t>
  </si>
  <si>
    <t>MTC Verification / Material Identification for Rib Plate to approved drawing/detail</t>
  </si>
  <si>
    <t>Cutting / Blanking for Rib Plate to approved drawing/detail</t>
  </si>
  <si>
    <t>Machining for Rib Plate to approved drawing/detail</t>
  </si>
  <si>
    <t>Edge Preparation / Beveling for Rib Plate to approved drawing/detail</t>
  </si>
  <si>
    <t>Inspection for Rib Plate to approved drawing/detail</t>
  </si>
  <si>
    <t>Receipt for Davit Pipe Boss to approved drawing/detail</t>
  </si>
  <si>
    <t>MTC Verification / Material Identification for Davit Pipe Boss to approved drawing/detail</t>
  </si>
  <si>
    <t>Machining for Davit Pipe Boss to approved drawing/detail</t>
  </si>
  <si>
    <t>Inspection for Davit Pipe Boss to approved drawing/detail</t>
  </si>
  <si>
    <t>Receipt for Davit Handle to approved drawing/detail</t>
  </si>
  <si>
    <t>MTC Verification / Material Identification for Davit Handle to approved drawing/detail</t>
  </si>
  <si>
    <t>Cutting / Blanking for Davit Handle to approved drawing/detail</t>
  </si>
  <si>
    <t>Forming / Pressing / Dishing for Davit Handle to approved drawing/detail</t>
  </si>
  <si>
    <t>Inspection for Davit Handle to approved drawing/detail</t>
  </si>
  <si>
    <t>Receipt for Jack Screw to approved drawing/detail</t>
  </si>
  <si>
    <t>MTC Verification / Material Identification for Jack Screw to approved drawing/detail</t>
  </si>
  <si>
    <t>Machining for Jack Screw to approved drawing/detail</t>
  </si>
  <si>
    <t>Inspection for Jack Screw to approved drawing/detail</t>
  </si>
  <si>
    <t>Receipt for Access Opening Assembly to approved drawing/detail</t>
  </si>
  <si>
    <t>MTC Verification / Material Identification for Access Opening Assembly to approved drawing/detail</t>
  </si>
  <si>
    <t>Cutting / Blanking for Access Opening Assembly to approved drawing/detail</t>
  </si>
  <si>
    <t>Rolling for Access Opening Assembly to approved drawing/detail</t>
  </si>
  <si>
    <t>Fit-up for Access Opening Assembly to approved drawing/detail</t>
  </si>
  <si>
    <t>Welding for Access Opening Assembly to approved drawing/detail</t>
  </si>
  <si>
    <t>NDT for Access Opening Assembly to approved drawing/detail</t>
  </si>
  <si>
    <t>Inspection for Access Opening Assembly to approved drawing/detail</t>
  </si>
  <si>
    <t>Receipt for Attachment Pad Plate to approved drawing/detail</t>
  </si>
  <si>
    <t>MTC Verification / Material Identification for Attachment Pad Plate to approved drawing/detail</t>
  </si>
  <si>
    <t>Cutting / Blanking for Attachment Pad Plate to approved drawing/detail</t>
  </si>
  <si>
    <t>Rolling for Attachment Pad Plate to approved drawing/detail</t>
  </si>
  <si>
    <t>Machining for Attachment Pad Plate to approved drawing/detail</t>
  </si>
  <si>
    <t>Inspection for Attachment Pad Plate to approved drawing/detail</t>
  </si>
  <si>
    <t>Receipt for Lifting Lug (PV) to approved drawing/detail</t>
  </si>
  <si>
    <t>MTC Verification / Material Identification for Lifting Lug (PV) to approved drawing/detail</t>
  </si>
  <si>
    <t>Cutting / Blanking for Lifting Lug (PV) to approved drawing/detail</t>
  </si>
  <si>
    <t>Machining for Lifting Lug (PV) to approved drawing/detail</t>
  </si>
  <si>
    <t>Edge Preparation / Beveling for Lifting Lug (PV) to approved drawing/detail</t>
  </si>
  <si>
    <t>Inspection for Lifting Lug (PV) to approved drawing/detail</t>
  </si>
  <si>
    <t>Receipt for Lug Support Plate to approved drawing/detail</t>
  </si>
  <si>
    <t>MTC Verification / Material Identification for Lug Support Plate to approved drawing/detail</t>
  </si>
  <si>
    <t>Cutting / Blanking for Lug Support Plate to approved drawing/detail</t>
  </si>
  <si>
    <t>Machining for Lug Support Plate to approved drawing/detail</t>
  </si>
  <si>
    <t>Edge Preparation / Beveling for Lug Support Plate to approved drawing/detail</t>
  </si>
  <si>
    <t>Inspection for Lug Support Plate to approved drawing/detail</t>
  </si>
  <si>
    <t>Receipt for Tailing Lug to approved drawing/detail</t>
  </si>
  <si>
    <t>MTC Verification / Material Identification for Tailing Lug to approved drawing/detail</t>
  </si>
  <si>
    <t>Cutting / Blanking for Tailing Lug to approved drawing/detail</t>
  </si>
  <si>
    <t>Machining for Tailing Lug to approved drawing/detail</t>
  </si>
  <si>
    <t>Edge Preparation / Beveling for Tailing Lug to approved drawing/detail</t>
  </si>
  <si>
    <t>Inspection for Tailing Lug to approved drawing/detail</t>
  </si>
  <si>
    <t>Receipt for Name Plate Bracket to approved drawing/detail</t>
  </si>
  <si>
    <t>MTC Verification / Material Identification for Name Plate Bracket to approved drawing/detail</t>
  </si>
  <si>
    <t>Cutting / Blanking for Name Plate Bracket to approved drawing/detail</t>
  </si>
  <si>
    <t>Machining for Name Plate Bracket to approved drawing/detail</t>
  </si>
  <si>
    <t>Edge Preparation / Beveling for Name Plate Bracket to approved drawing/detail</t>
  </si>
  <si>
    <t>Inspection for Name Plate Bracket to approved drawing/detail</t>
  </si>
  <si>
    <t>Receipt for Name Plate to approved drawing/detail</t>
  </si>
  <si>
    <t>MTC Verification / Material Identification for Name Plate to approved drawing/detail</t>
  </si>
  <si>
    <t>Cutting / Blanking for Name Plate to approved drawing/detail</t>
  </si>
  <si>
    <t>Machining for Name Plate to approved drawing/detail</t>
  </si>
  <si>
    <t>Inspection for Name Plate to approved drawing/detail</t>
  </si>
  <si>
    <t>Receipt for Foundation Bolt with Nut &amp; Washer to approved drawing/detail</t>
  </si>
  <si>
    <t>MTC Verification / Material Identification for Foundation Bolt with Nut &amp; Washer to approved drawing/detail</t>
  </si>
  <si>
    <t>Inspection for Foundation Bolt with Nut &amp; Washer to approved drawing/detail</t>
  </si>
  <si>
    <t>HP Air Receiver Blow Down Vessel</t>
  </si>
  <si>
    <t>PV-S1</t>
  </si>
  <si>
    <t>Roll and fit shell longitudinal seam</t>
  </si>
  <si>
    <t>Drawing item 101; weld map reference to be confirmed</t>
  </si>
  <si>
    <t>Weld shell longitudinal seam to approved WPS</t>
  </si>
  <si>
    <t>Fitted shell course</t>
  </si>
  <si>
    <t>Full penetration pressure weld</t>
  </si>
  <si>
    <t>Perform required RT/PT and dimensional inspection</t>
  </si>
  <si>
    <t>100% RT of butt welds; all welds PT</t>
  </si>
  <si>
    <t>PV-H1</t>
  </si>
  <si>
    <t>Head Assembly</t>
  </si>
  <si>
    <t>Fit top dished end to shell</t>
  </si>
  <si>
    <t>Accepted shell course + HED-01</t>
  </si>
  <si>
    <t>Top-head fit-up</t>
  </si>
  <si>
    <t>CS-1</t>
  </si>
  <si>
    <t>Drawing item 102</t>
  </si>
  <si>
    <t>Weld top dished end to shell</t>
  </si>
  <si>
    <t>Shell with top head</t>
  </si>
  <si>
    <t>PV-H2</t>
  </si>
  <si>
    <t>Fit and weld bottom dished end to shell</t>
  </si>
  <si>
    <t>Shell with top head + HED-01</t>
  </si>
  <si>
    <t>Closed pressure shell</t>
  </si>
  <si>
    <t>Perform RT/PT of head circumferential seams</t>
  </si>
  <si>
    <t>Accepted pressure shell</t>
  </si>
  <si>
    <t>CS-1 / CS-2</t>
  </si>
  <si>
    <t>PV-N1</t>
  </si>
  <si>
    <t>Nozzle Sub-Assemblies</t>
  </si>
  <si>
    <t>Prepare N1 inlet flange and reinforcement pad assembly</t>
  </si>
  <si>
    <t>NOZ-01 + FLG-01 + RFP-02</t>
  </si>
  <si>
    <t>N1 sub-assembly</t>
  </si>
  <si>
    <t>NW-N1</t>
  </si>
  <si>
    <t>Class 300 LWN RF; R-pad vent hole required</t>
  </si>
  <si>
    <t>PV-N2</t>
  </si>
  <si>
    <t>Prepare N2 drain pipe, elbow and flange assembly</t>
  </si>
  <si>
    <t>NOZ-01 + ELB-01 + FLG-01 + STF-01</t>
  </si>
  <si>
    <t>N2 sub-assembly</t>
  </si>
  <si>
    <t>NW-N2</t>
  </si>
  <si>
    <t>SA333 Gr.6 pipe per Rev. C</t>
  </si>
  <si>
    <t>PV-N3</t>
  </si>
  <si>
    <t>Prepare N3 outlet self-reinforced nozzle and flange</t>
  </si>
  <si>
    <t>SRN-01 + FLG-01 + STF-01</t>
  </si>
  <si>
    <t>N3 sub-assembly</t>
  </si>
  <si>
    <t>NW-N3</t>
  </si>
  <si>
    <t>DN125 Class 300 WNRF</t>
  </si>
  <si>
    <t>PV-N4</t>
  </si>
  <si>
    <t>Instrument Connections</t>
  </si>
  <si>
    <t>Prepare N4, N5 and N6 coupling/plug connections</t>
  </si>
  <si>
    <t>Instrument connection sub-assemblies</t>
  </si>
  <si>
    <t>NW-N4/N5/N6</t>
  </si>
  <si>
    <t>Pressure gauge, transmitter and safety valve</t>
  </si>
  <si>
    <t>PV-M1</t>
  </si>
  <si>
    <t>Manhole Sub-Assembly</t>
  </si>
  <si>
    <t>Prepare M1 SRN, flange and blind flange</t>
  </si>
  <si>
    <t>SRN-01 + FLG-01 + BFL-01</t>
  </si>
  <si>
    <t>M1 manhole neck assembly</t>
  </si>
  <si>
    <t>NW-M1</t>
  </si>
  <si>
    <t>DN450 Class 300</t>
  </si>
  <si>
    <t>PV-NOZ</t>
  </si>
  <si>
    <t>Mark and cut vessel openings; fit nozzle/manhole sub-assemblies</t>
  </si>
  <si>
    <t>Accepted pressure shell + nozzle sub-assemblies</t>
  </si>
  <si>
    <t>Nozzle-fitted shell</t>
  </si>
  <si>
    <t>NS-N1…N6 / NS-M1</t>
  </si>
  <si>
    <t>Orientation and projection per GA</t>
  </si>
  <si>
    <t>Weld nozzles/manhole and reinforcement pads to vessel</t>
  </si>
  <si>
    <t>Welded nozzle shell</t>
  </si>
  <si>
    <t>Pressure welds FPW; pad vent holes</t>
  </si>
  <si>
    <t>PV-HT</t>
  </si>
  <si>
    <t>Perform required post-forming heat treatment and PWHT</t>
  </si>
  <si>
    <t>Heat-treated pressure assembly</t>
  </si>
  <si>
    <t>Drawing explicitly requires PFHT and PWHT; approved cycle/chart required</t>
  </si>
  <si>
    <t>PV-NDE</t>
  </si>
  <si>
    <t>Post-PWHT Examination</t>
  </si>
  <si>
    <t>Perform post-PWHT NDE, hardness and visual checks as applicable</t>
  </si>
  <si>
    <t>Accepted pressure assembly</t>
  </si>
  <si>
    <t>Pressure weld map</t>
  </si>
  <si>
    <t>Per ASME/QAP and heat-treatment procedure</t>
  </si>
  <si>
    <t>PV-SK</t>
  </si>
  <si>
    <t>Skirt Sub-Assembly</t>
  </si>
  <si>
    <t>Roll and weld skirt shell</t>
  </si>
  <si>
    <t>Skirt shell</t>
  </si>
  <si>
    <t>LS-SK</t>
  </si>
  <si>
    <t>Drawing item 201</t>
  </si>
  <si>
    <t>Fit base ring and 32 gusset plates to skirt</t>
  </si>
  <si>
    <t>Skirt shell + SBR-01 + GSP-02</t>
  </si>
  <si>
    <t>Skirt/base-ring assembly</t>
  </si>
  <si>
    <t>BR-SK / GW-1…32</t>
  </si>
  <si>
    <t>Drawing items 202–203</t>
  </si>
  <si>
    <t>Skirt Installation</t>
  </si>
  <si>
    <t>Fit and weld skirt assembly to bottom head</t>
  </si>
  <si>
    <t>Accepted pressure assembly + skirt/base-ring assembly</t>
  </si>
  <si>
    <t>Vessel on skirt</t>
  </si>
  <si>
    <t>SK-1</t>
  </si>
  <si>
    <t>Non-ASME material shall not be directly welded to pressure part; follow drawing pad/interface detail</t>
  </si>
  <si>
    <t>PV-ATT</t>
  </si>
  <si>
    <t>Lugs and Pads</t>
  </si>
  <si>
    <t>Fit pad plates, lifting lugs, support plates and tailing lug</t>
  </si>
  <si>
    <t>PAD-01 + LUG-02 + SPL-01 + TLG-01</t>
  </si>
  <si>
    <t>Lug-equipped vessel</t>
  </si>
  <si>
    <t>LW-1…n</t>
  </si>
  <si>
    <t>All attachment pads require 6 mm air vent hole where applicable</t>
  </si>
  <si>
    <t>PV-DAV</t>
  </si>
  <si>
    <t>Davit / Access Opening</t>
  </si>
  <si>
    <t>Assemble access opening, davit pipe, boss, end plates, handle, hook, eye bolt and jack screws</t>
  </si>
  <si>
    <t>AOP-01 + DVT-01 + BOS-01 + EPL-01 + HDL-01 + HOK-01 + EYE-01 + JSC-01 + NUT-02 + WSH-02 + RVT-01 + RIB-01</t>
  </si>
  <si>
    <t>Davit/access-opening assembly</t>
  </si>
  <si>
    <t>DW-1…n</t>
  </si>
  <si>
    <t>Detail-controlled assembly</t>
  </si>
  <si>
    <t>PV-EXT</t>
  </si>
  <si>
    <t>External Attachments</t>
  </si>
  <si>
    <t>Install support pipes, earthing plates and other external attachments</t>
  </si>
  <si>
    <t>SPP-01 + ERT-01</t>
  </si>
  <si>
    <t>Attachment-complete vessel</t>
  </si>
  <si>
    <t>AW-1…n</t>
  </si>
  <si>
    <t>Earthing plates shall not be painted</t>
  </si>
  <si>
    <t>PV-NP</t>
  </si>
  <si>
    <t>Name Plate Support</t>
  </si>
  <si>
    <t>Fit nameplate bracket to vessel</t>
  </si>
  <si>
    <t>Vessel with nameplate bracket</t>
  </si>
  <si>
    <t>NPW-1</t>
  </si>
  <si>
    <t>Nameplate installed after painting</t>
  </si>
  <si>
    <t>Manhole Closure</t>
  </si>
  <si>
    <t>Install M1 gasket and blind flange with studs/nuts</t>
  </si>
  <si>
    <t>M1 assembly + GAS-01 + STD-01</t>
  </si>
  <si>
    <t>Closed vessel</t>
  </si>
  <si>
    <t>Approved gasket; controlled tightening sequence required</t>
  </si>
  <si>
    <t>PV-QC</t>
  </si>
  <si>
    <t>Verify vessel dimensions, verticality, nozzle orientation/projection and attachments</t>
  </si>
  <si>
    <t>As per approved GA/QAP</t>
  </si>
  <si>
    <t>Complete final internal/external visual inspection</t>
  </si>
  <si>
    <t>Released vessel</t>
  </si>
  <si>
    <t>Hydrotest-ready vessel</t>
  </si>
  <si>
    <t>All sharp edges rounded; temporary attachments removed</t>
  </si>
  <si>
    <t>PV-HTEST</t>
  </si>
  <si>
    <t>Hydrostatic Test</t>
  </si>
  <si>
    <t>Hydrotest at approved pressure and hold time</t>
  </si>
  <si>
    <t>Hydrotest accepted</t>
  </si>
  <si>
    <t>66–66.5 kg/cm²(g); 18–48°C; 30 min</t>
  </si>
  <si>
    <t>PV-DRY</t>
  </si>
  <si>
    <t>Draining and Drying</t>
  </si>
  <si>
    <t>Drain, dry and preserve vessel after hydrotest</t>
  </si>
  <si>
    <t>Dry preserved vessel</t>
  </si>
  <si>
    <t>Record dryness/preservation</t>
  </si>
  <si>
    <t>PV-PAINT</t>
  </si>
  <si>
    <t>Surface Treatment and Painting</t>
  </si>
  <si>
    <t>Prepare and coat external surfaces; protect machined faces and threads</t>
  </si>
  <si>
    <t>Painted vessel</t>
  </si>
  <si>
    <t>Earthing plates excluded; system per approved paint specification</t>
  </si>
  <si>
    <t>Name Plate and Stamping</t>
  </si>
  <si>
    <t>Engrave/install SS304 nameplate and complete final stamping</t>
  </si>
  <si>
    <t>Painted vessel + NPL-01</t>
  </si>
  <si>
    <t>Identified vessel</t>
  </si>
  <si>
    <t>Drawing item 242; engraving content per approved nameplate detail</t>
  </si>
  <si>
    <t>PV-DOC</t>
  </si>
  <si>
    <t>MDR and Release</t>
  </si>
  <si>
    <t>Compile MTC, weld/NDE/PWHT/hydro records, approved drawings and release documents</t>
  </si>
  <si>
    <t>Released pressure vessel</t>
  </si>
  <si>
    <t>Final tracker load remains subject to Production Head approval</t>
  </si>
  <si>
    <t>SA 333</t>
  </si>
  <si>
    <t>Gr.6</t>
  </si>
  <si>
    <t>PV drawing Rev. C items 207/209; nominal carbon/low-alloy steel density; confirm MTC</t>
  </si>
  <si>
    <t>SA 53</t>
  </si>
  <si>
    <t>PV drawing item 226 alternative; confirm actual MTC grade</t>
  </si>
  <si>
    <t>E250B</t>
  </si>
  <si>
    <t>Plate / bar</t>
  </si>
  <si>
    <t>PV skirt/base/gusset/eye-bolt material; confirm certificate</t>
  </si>
  <si>
    <t>IS 1367</t>
  </si>
  <si>
    <t>Class 4</t>
  </si>
  <si>
    <t>Finished nut catalogue weight preferred</t>
  </si>
  <si>
    <t>Gr.8.8</t>
  </si>
  <si>
    <t>Foundation bolt</t>
  </si>
  <si>
    <t>Finished bolt-set catalogue weight preferred</t>
  </si>
  <si>
    <t>Rivet</t>
  </si>
  <si>
    <t>Nominal value for drawing item 230</t>
  </si>
  <si>
    <t>Unspecified</t>
  </si>
  <si>
    <t>PV item 223 grade unspecified; confirm supplier/MTC</t>
  </si>
  <si>
    <t>Grafoil filler</t>
  </si>
  <si>
    <t>Spiral wound gasket</t>
  </si>
  <si>
    <t>Bulk density varies by construction; use supplier gasket weight</t>
  </si>
  <si>
    <t>Heat Treatment / PFHT / PWHT</t>
  </si>
  <si>
    <t>SHL-01, HED-01, FLG-01, TSH-01; complete PV DE0423</t>
  </si>
  <si>
    <t>Fixed list has no heat-treatment operation; PV drawing requires post-forming heat treatment and PWHT.</t>
  </si>
  <si>
    <t>Heat-treatment procedure, furnace/local chart, hardness report</t>
  </si>
  <si>
    <t>Map approved PV execution to Stage 21; route approval required</t>
  </si>
  <si>
    <t>Complete HE; complete PV DE0423</t>
  </si>
  <si>
    <t>Fixed list has no hydrostatic-test operation; PV drawing requires 66–66.5 kg/cm²(g), 18–48°C, 30 min.</t>
  </si>
  <si>
    <t>PV Stage 27; HE shell/tube-side stages remain separate</t>
  </si>
  <si>
    <t>NPL-01; Name Plate</t>
  </si>
  <si>
    <t>Nameplate record / rubbing</t>
  </si>
  <si>
    <t>PV drawing item 242 and Stage 32</t>
  </si>
  <si>
    <t>PV attachments, manhole closure, NPL-01; HE listed parts</t>
  </si>
  <si>
    <t>Covers PV accessories and HE components if approved</t>
  </si>
  <si>
    <t>STD-01, GAS-01, BFL-01</t>
  </si>
  <si>
    <t>Fixed list has no controlled tightening operation for Class 300 manhole closure.</t>
  </si>
  <si>
    <t>Approve lubricant, tightening pattern and final record requirement</t>
  </si>
  <si>
    <t>Zinc Coating of Studs and Nuts</t>
  </si>
  <si>
    <t>PV drawing requires all studs and nuts to be zinc coated; fixed list does not identify coating of fasteners.</t>
  </si>
  <si>
    <t>Supplier coating certificate / inspection record</t>
  </si>
  <si>
    <t>Confirm coating process and acceptance thickness</t>
  </si>
  <si>
    <t>Temporary Flange Cover Installation</t>
  </si>
  <si>
    <t>All PV flanged openings</t>
  </si>
  <si>
    <t>Drawing requires temporary gasket and 3/6 mm metallic cover with all bolts; fixed operation list has no protection-installation step.</t>
  </si>
  <si>
    <t>Packing / flange protection checklist</t>
  </si>
  <si>
    <t>Could be controlled under Packing &amp; Preservation stage 34</t>
  </si>
  <si>
    <t>Post-Forming Heat Treatment</t>
  </si>
  <si>
    <t>Drawing explicitly requires PFHT separately from PWHT.</t>
  </si>
  <si>
    <t>PFHT chart and release report</t>
  </si>
  <si>
    <t>Confirm whether separate tracker operation is required</t>
  </si>
  <si>
    <t>Hardness Testing After PWHT</t>
  </si>
  <si>
    <t>Complete PV DE0423</t>
  </si>
  <si>
    <t>NDT operation does not explicitly represent hardness survey after heat treatment.</t>
  </si>
  <si>
    <t>Hardness test report</t>
  </si>
  <si>
    <t>Confirm locations and acceptance criteria from QAP/procedure</t>
  </si>
  <si>
    <t>SP40 overall material list: ten shell plates, PL.10 THK × 9456 developed length; widths 1240, 1490 and 560. Route remains unapproved. PV drawing item 101: SA516 Gr.70 shell, 45T × 3750W × 7509 developed length; 9947 kg.</t>
  </si>
  <si>
    <t>SP40-02-03-04-001 Rev.0: left/right cold-formed heads; full DP both sides with TPI; template profile check. Variant B added from drawing. PV drawing item 102: two SA516 Gr.70 dished ends, 45T nominal × 2925 blank dia; 4748 kg total.</t>
  </si>
  <si>
    <t>SP40 overall material list confirms pipe-neck nozzle construction in SA790 S32205; fabrication route still requires shop approval. PV items 207, 209 and 236 add SA333 Gr.6 and SA106 Gr.B nozzle-neck variants.</t>
  </si>
  <si>
    <t>SP40 overall material list shows SORF flanges, Class 150, SA182 Gr.F60. Make/buy and machining route remain to be confirmed. PV items 205, 206, 213 and 216 add SA105 Class 300 WNRF variants.</t>
  </si>
  <si>
    <t>SP40 overall material list confirms B8M studs, Gr.8M nuts and separate SS316L washers. PV item 220: 24 sets SA193 B7 studs / SA194 2H heavy hex nuts, 1-1/4 UNC × 210.</t>
  </si>
  <si>
    <t>SP40 overall material list specifies EPDM gaskets. Density and exact compound remain vendor-certificate dependent. PV item 219: DN450 Class 300 SS316L spiral-wound Grafoil gasket with CS outer ring.</t>
  </si>
  <si>
    <t>PV-01</t>
  </si>
  <si>
    <t>Source drawing</t>
  </si>
  <si>
    <t>PV Drawing Basis / items 205A, 210, 223, 238, 239, 244</t>
  </si>
  <si>
    <t>Confirm tight/unclear BOM cells: R-pad final dimension, stiffener weight, washer OD, lug/support-plate weight basis and N6 coupling details.</t>
  </si>
  <si>
    <t>Engineering to verify against native CAD or vendor-controlled BOM.</t>
  </si>
  <si>
    <t>No uncertain cell has been promoted as approved master data.</t>
  </si>
  <si>
    <t>PV-02</t>
  </si>
  <si>
    <t>Part Routes rows 85:239</t>
  </si>
  <si>
    <t>Drawing contains no shop cycle times; proposed norms require actual time-study validation.</t>
  </si>
  <si>
    <t>Department heads to validate time/unit/basis for all 155 PV route steps.</t>
  </si>
  <si>
    <t>All entries remain Draft and visibly highlighted.</t>
  </si>
  <si>
    <t>PV-03</t>
  </si>
  <si>
    <t>Drawing design data / Assembly Sequence</t>
  </si>
  <si>
    <t>Approve separate PFHT and PWHT operations, cycles, furnace/local method and hardness requirements.</t>
  </si>
  <si>
    <t>Issue approved heat-treatment procedure and tracker operation mapping.</t>
  </si>
  <si>
    <t>Drawing states PFHT=Yes and PWHT=Yes.</t>
  </si>
  <si>
    <t>PV-04</t>
  </si>
  <si>
    <t>NDE</t>
  </si>
  <si>
    <t>Drawing notes / Design Data</t>
  </si>
  <si>
    <t>Confirm 100% RT coverage, 100% PT of all welds and post-PWHT NDE/hardness scope.</t>
  </si>
  <si>
    <t>QAP/ITP to define method, timing, acceptance and records.</t>
  </si>
  <si>
    <t>ASME VIII-1 Edition 2023; joint efficiency 1.0.</t>
  </si>
  <si>
    <t>PV-05</t>
  </si>
  <si>
    <t>Weld map</t>
  </si>
  <si>
    <t>Assembly Sequence PV rows</t>
  </si>
  <si>
    <t>Replace proposed LS/CS/NS/SK/AW references with the controlled job weld map.</t>
  </si>
  <si>
    <t>Welding/QC to approve joint numbering before tracker load.</t>
  </si>
  <si>
    <t>Current references are structured placeholders based on drawing features.</t>
  </si>
  <si>
    <t>PV-06</t>
  </si>
  <si>
    <t>Bolting</t>
  </si>
  <si>
    <t>M1 manhole closure</t>
  </si>
  <si>
    <t>Approve tightening method, lubricant, sequence and torque/tension record for Class 300 closure.</t>
  </si>
  <si>
    <t>Issue controlled bolting procedure.</t>
  </si>
  <si>
    <t>24 stud-and-nut sets and spiral-wound gasket are drawing-backed.</t>
  </si>
  <si>
    <t>PV-07</t>
  </si>
  <si>
    <t>Material controls</t>
  </si>
  <si>
    <t>Items 207, 209, 223, 226, 232</t>
  </si>
  <si>
    <t>Confirm Rev. C SA333 Gr.6 pipe, unspecified SS washer grade, support-pipe grade and IS2062 boss grade from MTC/BOM.</t>
  </si>
  <si>
    <t>Procurement/QC to reconcile MTCs to drawing BOM.</t>
  </si>
  <si>
    <t>Procurement / QC</t>
  </si>
  <si>
    <t>Material Master uses nominal densities pending certificates.</t>
  </si>
  <si>
    <t>PV-08</t>
  </si>
  <si>
    <t>Parts Master PV rows 35:64</t>
  </si>
  <si>
    <t>No newly added PV family has Production Head approval.</t>
  </si>
  <si>
    <t>Review routes, assembly, times and operation proposals; change status only after signed approval.</t>
  </si>
  <si>
    <t>Tracker load readiness remains HOLD.</t>
  </si>
  <si>
    <t>PRESSURE VESSEL MASTER — DRAWING REVIEW</t>
  </si>
  <si>
    <t>Approved GA source is captured, but all shop-time norms, route approvals and unresolved BOM cells remain under controlled HOLD.</t>
  </si>
  <si>
    <t>Drawing BOM lines</t>
  </si>
  <si>
    <t>New PV part families</t>
  </si>
  <si>
    <t>Drawing-linked shared families</t>
  </si>
  <si>
    <t>New PV route steps</t>
  </si>
  <si>
    <t>PV assembly steps</t>
  </si>
  <si>
    <t>Missing PV stage mappings</t>
  </si>
  <si>
    <t>PV routes missing standard time</t>
  </si>
  <si>
    <t>Open PV review actions</t>
  </si>
  <si>
    <t>Approved new PV families</t>
  </si>
  <si>
    <t>DRAWING FACT</t>
  </si>
  <si>
    <t>UNIT / BASIS</t>
  </si>
  <si>
    <t>SOURCE</t>
  </si>
  <si>
    <t>Drawing</t>
  </si>
  <si>
    <t>51G2-E-ELM-HCA-DM-D-V-4006 Rev. C</t>
  </si>
  <si>
    <t>Sheets 1–2</t>
  </si>
  <si>
    <t>Approved GA</t>
  </si>
  <si>
    <t>Vessel size</t>
  </si>
  <si>
    <t>2345 ID × 5496 OAL</t>
  </si>
  <si>
    <t>mm</t>
  </si>
  <si>
    <t>Design Data</t>
  </si>
  <si>
    <t>Capacity</t>
  </si>
  <si>
    <t>m³</t>
  </si>
  <si>
    <t>bar(g)</t>
  </si>
  <si>
    <t>-20 to +50</t>
  </si>
  <si>
    <t>°C</t>
  </si>
  <si>
    <t>Hydrotest pressure</t>
  </si>
  <si>
    <t>66–66.5</t>
  </si>
  <si>
    <t>kg/cm²(g)</t>
  </si>
  <si>
    <t>30 min at 18–48°C</t>
  </si>
  <si>
    <t>Empty weight</t>
  </si>
  <si>
    <t>kg</t>
  </si>
  <si>
    <t>Operating weight</t>
  </si>
  <si>
    <t>Hydrotest weight</t>
  </si>
  <si>
    <t>cycles</t>
  </si>
  <si>
    <t>8 cycles/day; pressure fluctuations 40–70 bar</t>
  </si>
  <si>
    <t>REVIEW GATE</t>
  </si>
  <si>
    <t>REQUIRED EVIDENCE</t>
  </si>
  <si>
    <t>BOM ambiguities</t>
  </si>
  <si>
    <t>Native CAD/vendor BOM confirmation</t>
  </si>
  <si>
    <t>Routes and times</t>
  </si>
  <si>
    <t>Approved routes and time-study sheet</t>
  </si>
  <si>
    <t>PFHT / PWHT / NDE</t>
  </si>
  <si>
    <t>QC / Heat Treatment</t>
  </si>
  <si>
    <t>Approved procedures, QAP and acceptance criteria</t>
  </si>
  <si>
    <t>Welding / QC</t>
  </si>
  <si>
    <t>Controlled joint-number register</t>
  </si>
  <si>
    <t>Final approval</t>
  </si>
  <si>
    <t>Signed approval and Parts Master status update</t>
  </si>
  <si>
    <t>HE + PV SOURCE MASTER — PROPOSED BASELINES COMPLETE FOR REVIEW, NOT APPROVED FOR TRACKER LOAD</t>
  </si>
  <si>
    <t>The approved HP Air Receiver GA has been added as a light-yellow PV dataset: 48 BOM lines, 30 new part families, 155 route steps and 31 assembly steps. Drawing facts are controlled in PV Drawing Basis; proposed time norms and shop methods remain on HOLD pending Production Head/PPC approval.</t>
  </si>
  <si>
    <t>PV Drawing Basis</t>
  </si>
  <si>
    <t>Approved GA metadata, design data, nozzle schedule and all 48 BOM lines with master-code traceability.</t>
  </si>
  <si>
    <t>PV Review</t>
  </si>
  <si>
    <t>Live PV completeness controls, design summary and approval gates.</t>
  </si>
  <si>
    <t>Light-yellow PV rows</t>
  </si>
  <si>
    <t>Drawing-backed pressure-vessel entries or proposed planning values requiring joint review.</t>
  </si>
  <si>
    <t>Orange PV cells</t>
  </si>
  <si>
    <t>Ambiguous source value, unapproved standard time, or approval-sensitive control.</t>
  </si>
  <si>
    <t>HE + PV MASTER — LIGHT-YELLOW PV ROWS ARE DRAWING-BACKED OR PROPOSED; ALL DRAFT ROUTES/TIMES REQUIRE PRODUCTION HEAD APPROVAL.</t>
  </si>
  <si>
    <t>HE + PV ROUTES — LIGHT-YELLOW PV ROUTES USE FIXED OPERATIONS AND APPROVED PV STAGE NUMBERS; PROPOSED TIMES REQUIRE SHOP VALIDATION.</t>
  </si>
  <si>
    <t>REFERENCE + PROPOSED ASSEMBLY SEQUENCES — LIGHT-YELLOW PV ROWS ARE BASED ON APPROVED GA REV. C; WELD MAP AND METHODS REQUIRE APPROVAL.</t>
  </si>
  <si>
    <t>SOURCE REVIEW REGISTER — LIGHT-YELLOW PV/HE OPERATION PROPOSALS REMAIN OUTSIDE THE FIXED DROPDOWN UNTIL APPROVED.</t>
  </si>
  <si>
    <t>REFERENCE DENSITY MASTER — LIGHT-YELLOW PV MATERIALS USE NOMINAL THEORETICAL DENSITY; MTC/SUPPLIER VALUES GOVERN FINAL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</si>
</sst>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charset val="1"/>
    </font>
    <font>
      <b/>
      <sz val="14"/>
      <color rgb="FF1F3864"/>
      <name val="Arial"/>
      <charset val="1"/>
    </font>
    <font>
      <b/>
      <sz val="11"/>
      <color rgb="FF1F3864"/>
      <name val="Arial"/>
      <charset val="1"/>
    </font>
    <font>
      <b/>
      <sz val="11"/>
      <name val="Arial"/>
      <charset val="1"/>
    </font>
    <font>
      <sz val="11"/>
      <name val="Arial"/>
      <charset val="1"/>
    </font>
    <font>
      <i/>
      <sz val="9"/>
      <name val="Arial"/>
      <charset val="1"/>
    </font>
    <font>
      <b/>
      <sz val="11"/>
      <color rgb="FFFFFFFF"/>
      <name val="Arial"/>
      <charset val="1"/>
    </font>
    <font>
      <i/>
      <sz val="11"/>
      <color rgb="FF404040"/>
      <name val="Arial"/>
      <charset val="1"/>
    </font>
    <font>
      <sz val="11"/>
      <color rgb="FF000000"/>
      <name val="Arial"/>
      <charset val="1"/>
    </font>
    <font>
      <b/>
      <sz val="11"/>
      <color rgb="FF375623"/>
      <name val="Arial"/>
      <charset val="1"/>
    </font>
    <font>
      <sz val="10"/>
      <color theme="1"/>
      <name val="Aptos"/>
    </font>
    <font>
      <b/>
      <sz val="10"/>
      <color rgb="FFFFFFFF"/>
      <name val="Aptos"/>
    </font>
    <font>
      <b/>
      <sz val="18"/>
      <color rgb="FFFFFFFF"/>
      <name val="Aptos"/>
    </font>
    <font>
      <sz val="10"/>
      <color rgb="FF17365D"/>
      <name val="Aptos"/>
    </font>
    <font>
      <b/>
      <sz val="10"/>
      <color theme="1"/>
      <name val="Aptos"/>
    </font>
    <font>
      <b/>
      <sz val="14"/>
      <color theme="1"/>
      <name val="Aptos"/>
    </font>
    <font>
      <b/>
      <sz val="10"/>
      <color rgb="FF9C0006"/>
      <name val="Aptos"/>
    </font>
    <font>
      <b/>
      <sz val="14"/>
      <color rgb="FF9C0006"/>
      <name val="Aptos"/>
    </font>
    <font>
      <b/>
      <sz val="11"/>
      <color rgb="FF7F6000"/>
      <name val="Arial"/>
      <charset val="1"/>
    </font>
    <font>
      <b/>
      <sz val="17"/>
      <color rgb="FFFFFFFF"/>
      <name val="Aptos"/>
    </font>
    <font>
      <b/>
      <sz val="11"/>
      <color rgb="FF17365D"/>
      <name val="Arial"/>
      <charset val="1"/>
    </font>
    <font>
      <b/>
      <i/>
      <sz val="11"/>
      <color rgb="FF404040"/>
      <name val="Arial"/>
      <charset val="1"/>
    </font>
    <font>
      <b/>
      <sz val="11"/>
      <color rgb="FFFFFFFF"/>
      <name val="Calibri"/>
      <family val="2"/>
      <charset val="1"/>
    </font>
    <font>
      <b/>
      <sz val="12"/>
      <color rgb="FFFFFFFF"/>
      <name val="Arial"/>
      <charset val="1"/>
    </font>
    <font>
      <b/>
      <sz val="11"/>
      <color theme="1"/>
      <name val="Calibri"/>
      <family val="2"/>
      <charset val="1"/>
    </font>
    <font>
      <b/>
      <sz val="11"/>
      <color rgb="FF7F6000"/>
      <name val="Calibri"/>
      <family val="2"/>
      <charset val="1"/>
    </font>
  </fonts>
  <fills count="18">
    <fill>
      <patternFill patternType="none"/>
    </fill>
    <fill>
      <patternFill patternType="gray125"/>
    </fill>
    <fill>
      <patternFill patternType="solid">
        <fgColor rgb="FFFFF9DB"/>
        <bgColor rgb="FFFFFFFF"/>
      </patternFill>
    </fill>
    <fill>
      <patternFill patternType="solid">
        <fgColor rgb="FFE7E6E6"/>
        <bgColor rgb="FFE2EFDA"/>
      </patternFill>
    </fill>
    <fill>
      <patternFill patternType="solid">
        <fgColor rgb="FFDDEBF7"/>
        <bgColor rgb="FFE7E6E6"/>
      </patternFill>
    </fill>
    <fill>
      <patternFill patternType="solid">
        <fgColor rgb="FFE2EFDA"/>
        <bgColor rgb="FFE7E6E6"/>
      </patternFill>
    </fill>
    <fill>
      <patternFill patternType="solid">
        <fgColor rgb="FF1F3864"/>
        <bgColor rgb="FF333399"/>
      </patternFill>
    </fill>
    <fill>
      <patternFill patternType="solid">
        <fgColor rgb="FF17365D"/>
        <bgColor indexed="64"/>
      </patternFill>
    </fill>
    <fill>
      <patternFill patternType="solid">
        <fgColor rgb="FFD9EAF7"/>
        <bgColor indexed="64"/>
      </patternFill>
    </fill>
    <fill>
      <patternFill patternType="solid">
        <fgColor rgb="FF1F4E78"/>
        <bgColor indexed="64"/>
      </patternFill>
    </fill>
    <fill>
      <patternFill patternType="solid">
        <fgColor rgb="FFEAF2F8"/>
        <bgColor indexed="64"/>
      </patternFill>
    </fill>
    <fill>
      <patternFill patternType="solid">
        <fgColor rgb="FFFFF2CC"/>
        <bgColor indexed="64"/>
      </patternFill>
    </fill>
    <fill>
      <patternFill patternType="solid">
        <fgColor rgb="FFFCE4D6"/>
        <bgColor indexed="64"/>
      </patternFill>
    </fill>
    <fill>
      <patternFill patternType="solid">
        <fgColor rgb="FF9C6500"/>
        <bgColor indexed="64"/>
      </patternFill>
    </fill>
    <fill>
      <patternFill patternType="solid">
        <fgColor rgb="FFF4B183"/>
        <bgColor indexed="64"/>
      </patternFill>
    </fill>
    <fill>
      <patternFill patternType="solid">
        <fgColor rgb="FFDDEBF7"/>
        <bgColor indexed="64"/>
      </patternFill>
    </fill>
    <fill>
      <patternFill patternType="solid">
        <fgColor rgb="FF4472C4"/>
        <bgColor indexed="64"/>
      </patternFill>
    </fill>
    <fill>
      <patternFill patternType="solid">
        <fgColor rgb="FFE2F0D9"/>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bottom style="thin">
        <color rgb="FFD9E2F3"/>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4C6E7"/>
      </bottom>
      <diagonal/>
    </border>
    <border>
      <left style="thin">
        <color rgb="FFBFBFBF"/>
      </left>
      <right/>
      <top style="thin">
        <color rgb="FFBFBFBF"/>
      </top>
      <bottom style="thin">
        <color rgb="FFBFBFBF"/>
      </bottom>
      <diagonal/>
    </border>
    <border>
      <left style="thin">
        <color rgb="FFBFBFBF"/>
      </left>
      <right/>
      <top style="thin">
        <color rgb="FFBFBFBF"/>
      </top>
      <bottom style="thin">
        <color rgb="FFB4C6E7"/>
      </bottom>
      <diagonal/>
    </border>
    <border>
      <left/>
      <right/>
      <top/>
      <bottom style="thin">
        <color rgb="FFB4C6E7"/>
      </bottom>
      <diagonal/>
    </border>
  </borders>
  <cellStyleXfs count="1">
    <xf numFmtId="0" fontId="0" fillId="0" borderId="0"/>
  </cellStyleXfs>
  <cellXfs count="141">
    <xf numFmtId="0" fontId="0" fillId="0" borderId="0" xfId="0"/>
    <xf numFmtId="0" fontId="2"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3" fillId="2"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6" fillId="6" borderId="1" xfId="0" applyFont="1" applyFill="1" applyBorder="1" applyAlignment="1">
      <alignment vertical="center" wrapText="1"/>
    </xf>
    <xf numFmtId="0" fontId="7" fillId="3" borderId="1" xfId="0" applyFont="1" applyFill="1" applyBorder="1" applyAlignment="1">
      <alignment vertical="top" wrapText="1"/>
    </xf>
    <xf numFmtId="0" fontId="4" fillId="2" borderId="1" xfId="0" applyFont="1" applyFill="1" applyBorder="1" applyAlignment="1">
      <alignment vertical="top" wrapText="1"/>
    </xf>
    <xf numFmtId="0" fontId="8" fillId="4" borderId="1" xfId="0" applyFont="1" applyFill="1" applyBorder="1" applyAlignment="1">
      <alignment vertical="top" wrapText="1"/>
    </xf>
    <xf numFmtId="0" fontId="8" fillId="5" borderId="1" xfId="0" applyFont="1" applyFill="1" applyBorder="1" applyAlignment="1">
      <alignment vertical="top" wrapText="1"/>
    </xf>
    <xf numFmtId="0" fontId="6" fillId="6" borderId="0" xfId="0" applyFont="1" applyFill="1"/>
    <xf numFmtId="0" fontId="4" fillId="0" borderId="0" xfId="0" applyFont="1"/>
    <xf numFmtId="2" fontId="0" fillId="0" borderId="0" xfId="0" applyNumberFormat="1"/>
    <xf numFmtId="0" fontId="10" fillId="0" borderId="0" xfId="0" applyFont="1" applyAlignment="1">
      <alignment vertical="center"/>
    </xf>
    <xf numFmtId="0" fontId="11" fillId="9" borderId="0" xfId="0" applyFont="1" applyFill="1" applyAlignment="1">
      <alignment vertical="center"/>
    </xf>
    <xf numFmtId="0" fontId="13" fillId="8" borderId="0" xfId="0" applyFont="1" applyFill="1" applyAlignment="1">
      <alignment vertical="center" wrapText="1"/>
    </xf>
    <xf numFmtId="0" fontId="10" fillId="0" borderId="0" xfId="0" applyFont="1" applyAlignment="1">
      <alignment vertical="center" wrapText="1"/>
    </xf>
    <xf numFmtId="0" fontId="14" fillId="10" borderId="0" xfId="0" applyFont="1" applyFill="1" applyAlignment="1">
      <alignment vertical="center"/>
    </xf>
    <xf numFmtId="0" fontId="10" fillId="11" borderId="0" xfId="0" applyFont="1" applyFill="1" applyAlignment="1">
      <alignment vertical="center"/>
    </xf>
    <xf numFmtId="0" fontId="10" fillId="0" borderId="2" xfId="0" applyFont="1" applyBorder="1" applyAlignment="1">
      <alignment vertical="center" wrapText="1"/>
    </xf>
    <xf numFmtId="0" fontId="10" fillId="11" borderId="0" xfId="0" applyFont="1" applyFill="1" applyAlignment="1">
      <alignment vertical="center" wrapText="1"/>
    </xf>
    <xf numFmtId="0" fontId="3" fillId="10" borderId="0" xfId="0" applyFont="1" applyFill="1" applyAlignment="1">
      <alignment vertical="top" wrapText="1"/>
    </xf>
    <xf numFmtId="0" fontId="4" fillId="10" borderId="1" xfId="0" applyFont="1" applyFill="1" applyBorder="1" applyAlignment="1">
      <alignment vertical="center" wrapText="1"/>
    </xf>
    <xf numFmtId="0" fontId="4" fillId="10" borderId="5" xfId="0" applyFont="1" applyFill="1" applyBorder="1" applyAlignment="1">
      <alignment vertical="center" wrapText="1"/>
    </xf>
    <xf numFmtId="0" fontId="8" fillId="8" borderId="1" xfId="0" applyFont="1" applyFill="1" applyBorder="1" applyAlignment="1">
      <alignment vertical="center" wrapText="1"/>
    </xf>
    <xf numFmtId="0" fontId="4" fillId="10" borderId="6" xfId="0" applyFont="1" applyFill="1" applyBorder="1" applyAlignment="1">
      <alignment vertical="center" wrapText="1"/>
    </xf>
    <xf numFmtId="0" fontId="4" fillId="10" borderId="7" xfId="0" applyFont="1" applyFill="1" applyBorder="1" applyAlignment="1">
      <alignment vertical="center" wrapText="1"/>
    </xf>
    <xf numFmtId="0" fontId="8" fillId="8" borderId="5" xfId="0" applyFont="1" applyFill="1" applyBorder="1" applyAlignment="1">
      <alignment vertical="center" wrapText="1"/>
    </xf>
    <xf numFmtId="0" fontId="8" fillId="10" borderId="1" xfId="0" applyFont="1" applyFill="1" applyBorder="1" applyAlignment="1">
      <alignment vertical="center" wrapText="1"/>
    </xf>
    <xf numFmtId="0" fontId="8" fillId="10" borderId="5" xfId="0" applyFont="1" applyFill="1" applyBorder="1" applyAlignment="1">
      <alignment vertical="center" wrapText="1"/>
    </xf>
    <xf numFmtId="0" fontId="7" fillId="10" borderId="1" xfId="0" applyFont="1" applyFill="1" applyBorder="1" applyAlignment="1">
      <alignment vertical="center" wrapText="1"/>
    </xf>
    <xf numFmtId="0" fontId="7" fillId="3" borderId="3" xfId="0" applyFont="1" applyFill="1" applyBorder="1" applyAlignment="1">
      <alignment vertical="top" wrapText="1"/>
    </xf>
    <xf numFmtId="0" fontId="0" fillId="11" borderId="0" xfId="0" applyFill="1" applyAlignment="1">
      <alignment vertical="center" wrapText="1"/>
    </xf>
    <xf numFmtId="0" fontId="0" fillId="11" borderId="8" xfId="0" applyFill="1" applyBorder="1" applyAlignment="1">
      <alignment vertical="center" wrapText="1"/>
    </xf>
    <xf numFmtId="0" fontId="3" fillId="10" borderId="1" xfId="0" applyFont="1" applyFill="1" applyBorder="1" applyAlignment="1">
      <alignment vertical="center" wrapText="1"/>
    </xf>
    <xf numFmtId="0" fontId="3" fillId="10" borderId="5" xfId="0" applyFont="1" applyFill="1" applyBorder="1" applyAlignment="1">
      <alignment vertical="center" wrapText="1"/>
    </xf>
    <xf numFmtId="0" fontId="21" fillId="10" borderId="1" xfId="0" applyFont="1" applyFill="1" applyBorder="1" applyAlignment="1">
      <alignment vertical="center" wrapText="1"/>
    </xf>
    <xf numFmtId="0" fontId="4" fillId="11" borderId="1" xfId="0" applyFont="1" applyFill="1" applyBorder="1" applyAlignment="1">
      <alignment vertical="center" wrapText="1"/>
    </xf>
    <xf numFmtId="0" fontId="4" fillId="11" borderId="5" xfId="0" applyFont="1" applyFill="1" applyBorder="1" applyAlignment="1">
      <alignment vertical="center" wrapText="1"/>
    </xf>
    <xf numFmtId="0" fontId="7" fillId="11" borderId="1" xfId="0" applyFont="1" applyFill="1" applyBorder="1" applyAlignment="1">
      <alignment vertical="center" wrapText="1"/>
    </xf>
    <xf numFmtId="0" fontId="10" fillId="8" borderId="0" xfId="0" applyFont="1" applyFill="1" applyAlignment="1">
      <alignment vertical="center" wrapText="1"/>
    </xf>
    <xf numFmtId="0" fontId="4" fillId="0" borderId="0" xfId="0" applyFont="1" applyAlignment="1">
      <alignment vertical="top" wrapText="1"/>
    </xf>
    <xf numFmtId="0" fontId="4" fillId="10" borderId="0" xfId="0" applyFont="1" applyFill="1" applyAlignment="1">
      <alignment vertical="top" wrapText="1"/>
    </xf>
    <xf numFmtId="0" fontId="4" fillId="2" borderId="0" xfId="0" applyFont="1" applyFill="1" applyAlignment="1">
      <alignment vertical="top" wrapText="1"/>
    </xf>
    <xf numFmtId="0" fontId="1" fillId="0" borderId="0" xfId="0" applyFont="1" applyAlignment="1">
      <alignment vertical="top" wrapText="1"/>
    </xf>
    <xf numFmtId="0" fontId="18" fillId="11" borderId="0" xfId="0" applyFont="1" applyFill="1" applyAlignment="1">
      <alignment wrapText="1"/>
    </xf>
    <xf numFmtId="0" fontId="5" fillId="0" borderId="0" xfId="0" applyFont="1" applyAlignment="1">
      <alignment vertical="top" wrapText="1"/>
    </xf>
    <xf numFmtId="0" fontId="9" fillId="5" borderId="0" xfId="0" applyFont="1" applyFill="1"/>
    <xf numFmtId="0" fontId="0" fillId="0" borderId="0" xfId="0"/>
    <xf numFmtId="0" fontId="12" fillId="7" borderId="0" xfId="0" applyFont="1" applyFill="1" applyAlignment="1">
      <alignment vertical="center"/>
    </xf>
    <xf numFmtId="0" fontId="11" fillId="9" borderId="0" xfId="0" applyFont="1" applyFill="1" applyAlignment="1">
      <alignment vertical="center"/>
    </xf>
    <xf numFmtId="0" fontId="16" fillId="12" borderId="0" xfId="0" applyFont="1" applyFill="1" applyAlignment="1">
      <alignment vertical="center" wrapText="1"/>
    </xf>
    <xf numFmtId="0" fontId="0" fillId="0" borderId="0" xfId="0" applyAlignment="1">
      <alignment wrapText="1"/>
    </xf>
    <xf numFmtId="0" fontId="10" fillId="0" borderId="0" xfId="0" applyFont="1"/>
    <xf numFmtId="0" fontId="11" fillId="13" borderId="0" xfId="0" applyFont="1" applyFill="1"/>
    <xf numFmtId="0" fontId="10" fillId="11" borderId="0" xfId="0" applyFont="1" applyFill="1" applyAlignment="1">
      <alignment wrapText="1"/>
    </xf>
    <xf numFmtId="0" fontId="11" fillId="9" borderId="0" xfId="0" applyFont="1" applyFill="1" applyAlignment="1">
      <alignment wrapText="1"/>
    </xf>
    <xf numFmtId="0" fontId="10" fillId="11" borderId="0" xfId="0" applyFont="1" applyFill="1"/>
    <xf numFmtId="0" fontId="14" fillId="14" borderId="0" xfId="0" applyFont="1" applyFill="1"/>
    <xf numFmtId="1" fontId="10" fillId="11" borderId="0" xfId="0" applyNumberFormat="1" applyFont="1" applyFill="1"/>
    <xf numFmtId="164" fontId="10" fillId="11" borderId="0" xfId="0" applyNumberFormat="1" applyFont="1" applyFill="1"/>
    <xf numFmtId="0" fontId="10" fillId="11" borderId="0" xfId="0" applyFont="1" applyFill="1" applyAlignment="1">
      <alignment wrapText="1"/>
    </xf>
    <xf numFmtId="0" fontId="7" fillId="11" borderId="1" xfId="0" applyFont="1" applyFill="1" applyBorder="1" applyAlignment="1">
      <alignment vertical="top" wrapText="1"/>
    </xf>
    <xf numFmtId="0" fontId="7" fillId="14" borderId="1" xfId="0" applyFont="1" applyFill="1" applyBorder="1" applyAlignment="1">
      <alignment vertical="top" wrapText="1"/>
    </xf>
    <xf numFmtId="0" fontId="7" fillId="12" borderId="1" xfId="0" applyFont="1" applyFill="1" applyBorder="1" applyAlignment="1">
      <alignment vertical="top" wrapText="1"/>
    </xf>
    <xf numFmtId="0" fontId="7" fillId="15" borderId="1" xfId="0" applyFont="1" applyFill="1" applyBorder="1" applyAlignment="1">
      <alignment vertical="top" wrapText="1"/>
    </xf>
    <xf numFmtId="0" fontId="4" fillId="11" borderId="1" xfId="0" applyFont="1" applyFill="1" applyBorder="1" applyAlignment="1">
      <alignment vertical="top" wrapText="1"/>
    </xf>
    <xf numFmtId="0" fontId="8" fillId="11" borderId="1" xfId="0" applyFont="1" applyFill="1" applyBorder="1" applyAlignment="1">
      <alignment vertical="top" wrapText="1"/>
    </xf>
    <xf numFmtId="0" fontId="4" fillId="14" borderId="1" xfId="0" applyFont="1" applyFill="1" applyBorder="1" applyAlignment="1">
      <alignment vertical="top" wrapText="1"/>
    </xf>
    <xf numFmtId="0" fontId="4" fillId="12" borderId="1" xfId="0" applyFont="1" applyFill="1" applyBorder="1" applyAlignment="1">
      <alignment vertical="top" wrapText="1"/>
    </xf>
    <xf numFmtId="0" fontId="4" fillId="15" borderId="1" xfId="0" applyFont="1" applyFill="1" applyBorder="1" applyAlignment="1">
      <alignment vertical="top" wrapText="1"/>
    </xf>
    <xf numFmtId="0" fontId="4" fillId="11" borderId="3" xfId="0" applyFont="1" applyFill="1" applyBorder="1" applyAlignment="1">
      <alignment vertical="top" wrapText="1"/>
    </xf>
    <xf numFmtId="0" fontId="8" fillId="11" borderId="3" xfId="0" applyFont="1" applyFill="1" applyBorder="1" applyAlignment="1">
      <alignment vertical="top" wrapText="1"/>
    </xf>
    <xf numFmtId="0" fontId="4" fillId="14" borderId="3" xfId="0" applyFont="1" applyFill="1" applyBorder="1" applyAlignment="1">
      <alignment vertical="top" wrapText="1"/>
    </xf>
    <xf numFmtId="0" fontId="4" fillId="12" borderId="3" xfId="0" applyFont="1" applyFill="1" applyBorder="1" applyAlignment="1">
      <alignment vertical="top" wrapText="1"/>
    </xf>
    <xf numFmtId="0" fontId="4" fillId="15" borderId="3" xfId="0" applyFont="1" applyFill="1" applyBorder="1" applyAlignment="1">
      <alignment vertical="top" wrapText="1"/>
    </xf>
    <xf numFmtId="0" fontId="8" fillId="11" borderId="1" xfId="0" applyFont="1" applyFill="1" applyBorder="1" applyAlignment="1">
      <alignment vertical="center" wrapText="1"/>
    </xf>
    <xf numFmtId="0" fontId="3" fillId="14" borderId="1" xfId="0" applyFont="1" applyFill="1" applyBorder="1" applyAlignment="1">
      <alignment vertical="center" wrapText="1"/>
    </xf>
    <xf numFmtId="0" fontId="4" fillId="12" borderId="1" xfId="0" applyFont="1" applyFill="1" applyBorder="1" applyAlignment="1">
      <alignment vertical="center" wrapText="1"/>
    </xf>
    <xf numFmtId="0" fontId="4" fillId="15" borderId="1" xfId="0" applyFont="1" applyFill="1" applyBorder="1" applyAlignment="1">
      <alignment vertical="center" wrapText="1"/>
    </xf>
    <xf numFmtId="0" fontId="6" fillId="9" borderId="1" xfId="0" applyFont="1" applyFill="1" applyBorder="1" applyAlignment="1">
      <alignment vertical="center" wrapText="1"/>
    </xf>
    <xf numFmtId="2" fontId="7" fillId="12" borderId="1" xfId="0" applyNumberFormat="1" applyFont="1" applyFill="1" applyBorder="1" applyAlignment="1">
      <alignment vertical="top" wrapText="1"/>
    </xf>
    <xf numFmtId="2" fontId="4" fillId="12" borderId="1" xfId="0" applyNumberFormat="1" applyFont="1" applyFill="1" applyBorder="1" applyAlignment="1">
      <alignment vertical="top" wrapText="1"/>
    </xf>
    <xf numFmtId="2" fontId="4" fillId="12" borderId="3" xfId="0" applyNumberFormat="1" applyFont="1" applyFill="1" applyBorder="1" applyAlignment="1">
      <alignment vertical="top" wrapText="1"/>
    </xf>
    <xf numFmtId="2" fontId="4" fillId="12" borderId="1" xfId="0" applyNumberFormat="1" applyFont="1" applyFill="1" applyBorder="1" applyAlignment="1">
      <alignment vertical="center" wrapText="1"/>
    </xf>
    <xf numFmtId="2" fontId="4" fillId="11" borderId="1" xfId="0" applyNumberFormat="1" applyFont="1" applyFill="1" applyBorder="1" applyAlignment="1">
      <alignment vertical="center" wrapText="1"/>
    </xf>
    <xf numFmtId="2" fontId="4" fillId="11" borderId="5" xfId="0" applyNumberFormat="1" applyFont="1" applyFill="1" applyBorder="1" applyAlignment="1">
      <alignment vertical="center" wrapText="1"/>
    </xf>
    <xf numFmtId="2" fontId="4" fillId="2" borderId="1" xfId="0" applyNumberFormat="1" applyFont="1" applyFill="1" applyBorder="1" applyAlignment="1">
      <alignment vertical="top" wrapText="1"/>
    </xf>
    <xf numFmtId="0" fontId="7" fillId="11" borderId="0" xfId="0" applyFont="1" applyFill="1"/>
    <xf numFmtId="0" fontId="4" fillId="11" borderId="4" xfId="0" applyFont="1" applyFill="1" applyBorder="1" applyAlignment="1">
      <alignment vertical="top" wrapText="1"/>
    </xf>
    <xf numFmtId="0" fontId="4" fillId="14" borderId="4" xfId="0" applyFont="1" applyFill="1" applyBorder="1" applyAlignment="1">
      <alignment vertical="top" wrapText="1"/>
    </xf>
    <xf numFmtId="0" fontId="4" fillId="15" borderId="4" xfId="0" applyFont="1" applyFill="1" applyBorder="1" applyAlignment="1">
      <alignment vertical="top" wrapText="1"/>
    </xf>
    <xf numFmtId="0" fontId="22" fillId="9" borderId="0" xfId="0" applyFont="1" applyFill="1"/>
    <xf numFmtId="0" fontId="0" fillId="8" borderId="0" xfId="0" applyFill="1"/>
    <xf numFmtId="0" fontId="22" fillId="16" borderId="0" xfId="0" applyFont="1" applyFill="1"/>
    <xf numFmtId="0" fontId="0" fillId="17" borderId="0" xfId="0" applyFill="1"/>
    <xf numFmtId="0" fontId="0" fillId="11" borderId="0" xfId="0" applyFill="1"/>
    <xf numFmtId="2" fontId="0" fillId="17" borderId="0" xfId="0" applyNumberFormat="1" applyFill="1"/>
    <xf numFmtId="2" fontId="0" fillId="11" borderId="0" xfId="0" applyNumberFormat="1" applyFill="1"/>
    <xf numFmtId="0" fontId="0" fillId="17" borderId="0" xfId="0" applyFill="1" applyAlignment="1">
      <alignment wrapText="1"/>
    </xf>
    <xf numFmtId="0" fontId="0" fillId="11" borderId="0" xfId="0" applyFill="1" applyAlignment="1">
      <alignment wrapText="1"/>
    </xf>
    <xf numFmtId="0" fontId="12" fillId="9" borderId="0" xfId="0" applyFont="1" applyFill="1" applyAlignment="1">
      <alignment vertical="center"/>
    </xf>
    <xf numFmtId="0" fontId="13" fillId="11" borderId="0" xfId="0" applyFont="1" applyFill="1" applyAlignment="1">
      <alignment vertical="center" wrapText="1"/>
    </xf>
    <xf numFmtId="0" fontId="14" fillId="8" borderId="0" xfId="0" applyFont="1" applyFill="1" applyAlignment="1">
      <alignment vertical="center"/>
    </xf>
    <xf numFmtId="0" fontId="15" fillId="8" borderId="0" xfId="0" applyFont="1" applyFill="1" applyAlignment="1">
      <alignment vertical="center"/>
    </xf>
    <xf numFmtId="0" fontId="11" fillId="16" borderId="0" xfId="0" applyFont="1" applyFill="1" applyAlignment="1">
      <alignment vertical="center"/>
    </xf>
    <xf numFmtId="0" fontId="17" fillId="14" borderId="0" xfId="0" applyFont="1" applyFill="1" applyAlignment="1">
      <alignment vertical="center"/>
    </xf>
    <xf numFmtId="0" fontId="10" fillId="11" borderId="0" xfId="0" applyFont="1" applyFill="1" applyAlignment="1">
      <alignment horizontal="center" vertical="center"/>
    </xf>
    <xf numFmtId="0" fontId="10" fillId="11" borderId="2" xfId="0" applyFont="1" applyFill="1" applyBorder="1" applyAlignment="1">
      <alignment vertical="center"/>
    </xf>
    <xf numFmtId="0" fontId="10" fillId="11" borderId="2" xfId="0" applyFont="1" applyFill="1" applyBorder="1" applyAlignment="1">
      <alignment horizontal="center" vertical="center"/>
    </xf>
    <xf numFmtId="0" fontId="10" fillId="11" borderId="2" xfId="0" applyFont="1" applyFill="1" applyBorder="1" applyAlignment="1">
      <alignment vertical="center" wrapText="1"/>
    </xf>
    <xf numFmtId="0" fontId="23" fillId="13" borderId="0" xfId="0" applyFont="1" applyFill="1" applyAlignment="1">
      <alignment vertical="top" wrapText="1"/>
    </xf>
    <xf numFmtId="0" fontId="20" fillId="11" borderId="0" xfId="0" applyFont="1" applyFill="1" applyAlignment="1">
      <alignment vertical="top" wrapText="1"/>
    </xf>
    <xf numFmtId="0" fontId="0" fillId="14" borderId="0" xfId="0" applyFill="1"/>
    <xf numFmtId="0" fontId="4" fillId="14" borderId="0" xfId="0" applyFont="1" applyFill="1" applyBorder="1" applyAlignment="1">
      <alignment vertical="top" wrapText="1"/>
    </xf>
    <xf numFmtId="0" fontId="19" fillId="9" borderId="0" xfId="0" applyFont="1" applyFill="1" applyAlignment="1">
      <alignment vertical="center"/>
    </xf>
    <xf numFmtId="0" fontId="11" fillId="11" borderId="0" xfId="0" applyFont="1" applyFill="1" applyAlignment="1">
      <alignment vertical="center"/>
    </xf>
    <xf numFmtId="0" fontId="11" fillId="16" borderId="0" xfId="0" applyFont="1" applyFill="1" applyAlignment="1">
      <alignment vertical="center" wrapText="1"/>
    </xf>
    <xf numFmtId="0" fontId="10" fillId="12" borderId="0" xfId="0" applyFont="1" applyFill="1" applyAlignment="1">
      <alignment vertical="center" wrapText="1"/>
    </xf>
    <xf numFmtId="0" fontId="11" fillId="11" borderId="0" xfId="0" applyFont="1" applyFill="1" applyAlignment="1">
      <alignment vertical="center" wrapText="1"/>
    </xf>
    <xf numFmtId="0" fontId="11" fillId="9" borderId="0" xfId="0" applyFont="1" applyFill="1" applyAlignment="1">
      <alignment vertical="center" wrapText="1"/>
    </xf>
    <xf numFmtId="0" fontId="11" fillId="12" borderId="0" xfId="0" applyFont="1" applyFill="1" applyAlignment="1">
      <alignment vertical="center" wrapText="1"/>
    </xf>
    <xf numFmtId="0" fontId="0" fillId="12" borderId="0" xfId="0" applyFill="1" applyAlignment="1">
      <alignment wrapText="1"/>
    </xf>
    <xf numFmtId="0" fontId="0" fillId="11" borderId="0" xfId="0" applyFill="1"/>
    <xf numFmtId="0" fontId="0" fillId="11" borderId="0" xfId="0" applyFill="1" applyAlignment="1">
      <alignment wrapText="1"/>
    </xf>
    <xf numFmtId="0" fontId="22" fillId="16" borderId="0" xfId="0" applyFont="1" applyFill="1" applyAlignment="1">
      <alignment wrapText="1"/>
    </xf>
    <xf numFmtId="0" fontId="8" fillId="11" borderId="4" xfId="0" applyFont="1" applyFill="1" applyBorder="1" applyAlignment="1">
      <alignment vertical="top" wrapText="1"/>
    </xf>
    <xf numFmtId="0" fontId="4" fillId="12" borderId="4" xfId="0" applyFont="1" applyFill="1" applyBorder="1" applyAlignment="1">
      <alignment vertical="top" wrapText="1"/>
    </xf>
    <xf numFmtId="0" fontId="8" fillId="15" borderId="4" xfId="0" applyFont="1" applyFill="1" applyBorder="1" applyAlignment="1">
      <alignment vertical="top" wrapText="1"/>
    </xf>
    <xf numFmtId="0" fontId="8" fillId="15" borderId="1" xfId="0" applyFont="1" applyFill="1" applyBorder="1" applyAlignment="1">
      <alignment vertical="top" wrapText="1"/>
    </xf>
    <xf numFmtId="2" fontId="4" fillId="11" borderId="4" xfId="0" applyNumberFormat="1" applyFont="1" applyFill="1" applyBorder="1" applyAlignment="1">
      <alignment vertical="top" wrapText="1"/>
    </xf>
    <xf numFmtId="2" fontId="4" fillId="11" borderId="1" xfId="0" applyNumberFormat="1" applyFont="1" applyFill="1" applyBorder="1" applyAlignment="1">
      <alignment vertical="top" wrapText="1"/>
    </xf>
    <xf numFmtId="2" fontId="4" fillId="12" borderId="4" xfId="0" applyNumberFormat="1" applyFont="1" applyFill="1" applyBorder="1" applyAlignment="1">
      <alignment vertical="top" wrapText="1"/>
    </xf>
    <xf numFmtId="2" fontId="4" fillId="14" borderId="1" xfId="0" applyNumberFormat="1" applyFont="1" applyFill="1" applyBorder="1" applyAlignment="1">
      <alignment vertical="top" wrapText="1"/>
    </xf>
    <xf numFmtId="0" fontId="22" fillId="9" borderId="0" xfId="0" applyFont="1" applyFill="1" applyAlignment="1">
      <alignment wrapText="1"/>
    </xf>
    <xf numFmtId="0" fontId="24" fillId="14" borderId="0" xfId="0" applyFont="1" applyFill="1" applyAlignment="1">
      <alignment wrapText="1"/>
    </xf>
    <xf numFmtId="0" fontId="0" fillId="14" borderId="0" xfId="0" applyFill="1" applyAlignment="1">
      <alignment wrapText="1"/>
    </xf>
    <xf numFmtId="0" fontId="18" fillId="11" borderId="0" xfId="0" applyFont="1" applyFill="1"/>
    <xf numFmtId="0" fontId="25" fillId="11" borderId="0" xfId="0" applyFont="1" applyFill="1"/>
  </cellXfs>
  <cellStyles count="1">
    <cellStyle name="Normal" xfId="0" builtinId="0"/>
  </cellStyles>
  <dxfs count="2">
    <dxf>
      <font>
        <color rgb="FF9C0006"/>
      </font>
      <fill>
        <patternFill patternType="solid">
          <fgColor indexed="64"/>
          <bgColor rgb="FFF4CCCC"/>
        </patternFill>
      </fill>
    </dxf>
    <dxf>
      <font>
        <color rgb="FF7F6000"/>
      </font>
      <fill>
        <patternFill patternType="solid">
          <fgColor indexed="64"/>
          <bgColor rgb="FFFFF2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B"/>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E2EFDA"/>
      <rgbColor rgb="FFFDE9E7"/>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75623"/>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3"/>
  <sheetViews>
    <sheetView topLeftCell="A24" zoomScale="90" zoomScaleNormal="90" workbookViewId="0">
      <selection activeCell="A13" sqref="A13:C32"/>
    </sheetView>
  </sheetViews>
  <sheetFormatPr defaultColWidth="8.6640625" defaultRowHeight="14.4" x14ac:dyDescent="0.3"/>
  <cols>
    <col min="1" max="1" width="24" customWidth="1"/>
    <col min="2" max="2" width="40" customWidth="1"/>
    <col min="3" max="3" width="60" customWidth="1"/>
  </cols>
  <sheetData>
    <row r="1" spans="1:3" ht="17.399999999999999" customHeight="1" x14ac:dyDescent="0.3">
      <c r="A1" s="46" t="s">
        <v>0</v>
      </c>
      <c r="B1" s="46"/>
      <c r="C1" s="46"/>
    </row>
    <row r="2" spans="1:3" ht="15" customHeight="1" x14ac:dyDescent="0.3">
      <c r="A2" s="113" t="s">
        <v>2178</v>
      </c>
      <c r="B2" s="113"/>
      <c r="C2" s="113"/>
    </row>
    <row r="3" spans="1:3" ht="58.05" customHeight="1" x14ac:dyDescent="0.3">
      <c r="A3" s="114" t="s">
        <v>2179</v>
      </c>
      <c r="B3" s="114"/>
      <c r="C3" s="114"/>
    </row>
    <row r="5" spans="1:3" x14ac:dyDescent="0.3">
      <c r="A5" s="1" t="s">
        <v>1</v>
      </c>
    </row>
    <row r="6" spans="1:3" x14ac:dyDescent="0.3">
      <c r="A6" s="2" t="s">
        <v>2</v>
      </c>
      <c r="B6" s="45"/>
      <c r="C6" s="45"/>
    </row>
    <row r="7" spans="1:3" ht="27.6" x14ac:dyDescent="0.3">
      <c r="A7" s="2" t="s">
        <v>3</v>
      </c>
      <c r="B7" s="45"/>
      <c r="C7" s="45"/>
    </row>
    <row r="8" spans="1:3" x14ac:dyDescent="0.3">
      <c r="A8" s="2" t="s">
        <v>4</v>
      </c>
      <c r="B8" s="45"/>
      <c r="C8" s="45"/>
    </row>
    <row r="10" spans="1:3" x14ac:dyDescent="0.3">
      <c r="A10" s="1" t="s">
        <v>5</v>
      </c>
    </row>
    <row r="11" spans="1:3" ht="48" customHeight="1" x14ac:dyDescent="0.3">
      <c r="A11" s="43" t="s">
        <v>6</v>
      </c>
      <c r="B11" s="43"/>
      <c r="C11" s="43"/>
    </row>
    <row r="13" spans="1:3" x14ac:dyDescent="0.3">
      <c r="A13" s="1" t="s">
        <v>7</v>
      </c>
    </row>
    <row r="14" spans="1:3" ht="26.85" customHeight="1" x14ac:dyDescent="0.3">
      <c r="A14" s="2" t="s">
        <v>8</v>
      </c>
      <c r="B14" s="43" t="s">
        <v>9</v>
      </c>
      <c r="C14" s="43"/>
    </row>
    <row r="15" spans="1:3" ht="26.85" customHeight="1" x14ac:dyDescent="0.3">
      <c r="A15" s="2" t="s">
        <v>10</v>
      </c>
      <c r="B15" s="43" t="s">
        <v>11</v>
      </c>
      <c r="C15" s="43"/>
    </row>
    <row r="16" spans="1:3" ht="15" customHeight="1" x14ac:dyDescent="0.3">
      <c r="A16" s="2" t="s">
        <v>12</v>
      </c>
      <c r="B16" s="43" t="s">
        <v>13</v>
      </c>
      <c r="C16" s="43"/>
    </row>
    <row r="17" spans="1:3" ht="15" customHeight="1" x14ac:dyDescent="0.3">
      <c r="A17" s="2" t="s">
        <v>14</v>
      </c>
      <c r="B17" s="43" t="s">
        <v>15</v>
      </c>
      <c r="C17" s="43"/>
    </row>
    <row r="18" spans="1:3" ht="15" customHeight="1" x14ac:dyDescent="0.3">
      <c r="A18" s="2" t="s">
        <v>16</v>
      </c>
      <c r="B18" s="43" t="s">
        <v>17</v>
      </c>
      <c r="C18" s="43"/>
    </row>
    <row r="19" spans="1:3" ht="15" customHeight="1" x14ac:dyDescent="0.3">
      <c r="A19" s="2" t="s">
        <v>18</v>
      </c>
      <c r="B19" s="43" t="s">
        <v>19</v>
      </c>
      <c r="C19" s="43"/>
    </row>
    <row r="20" spans="1:3" ht="15" customHeight="1" x14ac:dyDescent="0.3">
      <c r="A20" s="2" t="s">
        <v>20</v>
      </c>
      <c r="B20" s="43" t="s">
        <v>21</v>
      </c>
      <c r="C20" s="43"/>
    </row>
    <row r="21" spans="1:3" ht="37.950000000000003" customHeight="1" x14ac:dyDescent="0.3">
      <c r="A21" s="23" t="s">
        <v>1057</v>
      </c>
      <c r="B21" s="44" t="s">
        <v>1058</v>
      </c>
      <c r="C21" s="44"/>
    </row>
    <row r="22" spans="1:3" x14ac:dyDescent="0.3">
      <c r="A22" s="1" t="s">
        <v>22</v>
      </c>
    </row>
    <row r="23" spans="1:3" ht="39.6" customHeight="1" x14ac:dyDescent="0.3">
      <c r="A23" s="2" t="s">
        <v>23</v>
      </c>
      <c r="B23" s="43" t="s">
        <v>24</v>
      </c>
      <c r="C23" s="43"/>
    </row>
    <row r="24" spans="1:3" ht="15" customHeight="1" x14ac:dyDescent="0.3">
      <c r="A24" s="2" t="s">
        <v>25</v>
      </c>
      <c r="B24" s="43" t="s">
        <v>26</v>
      </c>
      <c r="C24" s="43"/>
    </row>
    <row r="25" spans="1:3" ht="26.85" customHeight="1" x14ac:dyDescent="0.3">
      <c r="A25" s="2" t="s">
        <v>27</v>
      </c>
      <c r="B25" s="43" t="s">
        <v>28</v>
      </c>
      <c r="C25" s="43"/>
    </row>
    <row r="26" spans="1:3" ht="15" customHeight="1" x14ac:dyDescent="0.3">
      <c r="A26" s="2" t="s">
        <v>29</v>
      </c>
      <c r="B26" s="43" t="s">
        <v>30</v>
      </c>
      <c r="C26" s="43"/>
    </row>
    <row r="27" spans="1:3" ht="15" customHeight="1" x14ac:dyDescent="0.3">
      <c r="A27" s="2" t="s">
        <v>31</v>
      </c>
      <c r="B27" s="43" t="s">
        <v>32</v>
      </c>
      <c r="C27" s="43"/>
    </row>
    <row r="28" spans="1:3" ht="15" customHeight="1" x14ac:dyDescent="0.3">
      <c r="A28" s="2" t="s">
        <v>33</v>
      </c>
      <c r="B28" s="43" t="s">
        <v>34</v>
      </c>
      <c r="C28" s="43"/>
    </row>
    <row r="29" spans="1:3" ht="15" customHeight="1" x14ac:dyDescent="0.3">
      <c r="A29" s="2" t="s">
        <v>35</v>
      </c>
      <c r="B29" s="43" t="s">
        <v>36</v>
      </c>
      <c r="C29" s="43"/>
    </row>
    <row r="30" spans="1:3" ht="15" customHeight="1" x14ac:dyDescent="0.3">
      <c r="A30" s="2" t="s">
        <v>37</v>
      </c>
      <c r="B30" s="43" t="s">
        <v>38</v>
      </c>
      <c r="C30" s="43"/>
    </row>
    <row r="31" spans="1:3" ht="26.85" customHeight="1" x14ac:dyDescent="0.3">
      <c r="A31" s="2" t="s">
        <v>39</v>
      </c>
      <c r="B31" s="43" t="s">
        <v>40</v>
      </c>
      <c r="C31" s="43"/>
    </row>
    <row r="32" spans="1:3" ht="15" customHeight="1" x14ac:dyDescent="0.3">
      <c r="A32" s="2" t="s">
        <v>41</v>
      </c>
      <c r="B32" s="43" t="s">
        <v>42</v>
      </c>
      <c r="C32" s="43"/>
    </row>
    <row r="34" spans="1:3" x14ac:dyDescent="0.3">
      <c r="A34" s="1" t="s">
        <v>43</v>
      </c>
    </row>
    <row r="35" spans="1:3" ht="15" customHeight="1" x14ac:dyDescent="0.3">
      <c r="A35" s="3" t="s">
        <v>44</v>
      </c>
      <c r="B35" s="43" t="s">
        <v>45</v>
      </c>
      <c r="C35" s="43"/>
    </row>
    <row r="36" spans="1:3" ht="15" customHeight="1" x14ac:dyDescent="0.3">
      <c r="A36" s="4" t="s">
        <v>46</v>
      </c>
      <c r="B36" s="43" t="s">
        <v>47</v>
      </c>
      <c r="C36" s="43"/>
    </row>
    <row r="37" spans="1:3" ht="15" customHeight="1" x14ac:dyDescent="0.3">
      <c r="A37" s="5" t="s">
        <v>48</v>
      </c>
      <c r="B37" s="43" t="s">
        <v>49</v>
      </c>
      <c r="C37" s="43"/>
    </row>
    <row r="38" spans="1:3" ht="15" customHeight="1" x14ac:dyDescent="0.3">
      <c r="A38" s="6" t="s">
        <v>50</v>
      </c>
      <c r="B38" s="43" t="s">
        <v>51</v>
      </c>
      <c r="C38" s="43"/>
    </row>
    <row r="39" spans="1:3" x14ac:dyDescent="0.3">
      <c r="A39" s="115" t="s">
        <v>1388</v>
      </c>
      <c r="B39" s="116" t="s">
        <v>1389</v>
      </c>
      <c r="C39" s="116"/>
    </row>
    <row r="40" spans="1:3" ht="43.2" x14ac:dyDescent="0.3">
      <c r="A40" s="98" t="s">
        <v>2180</v>
      </c>
      <c r="B40" s="102" t="s">
        <v>2181</v>
      </c>
      <c r="C40" s="102"/>
    </row>
    <row r="41" spans="1:3" ht="28.8" x14ac:dyDescent="0.3">
      <c r="A41" s="98" t="s">
        <v>2182</v>
      </c>
      <c r="B41" s="102" t="s">
        <v>2183</v>
      </c>
      <c r="C41" s="102"/>
    </row>
    <row r="42" spans="1:3" ht="43.2" x14ac:dyDescent="0.3">
      <c r="A42" s="98" t="s">
        <v>2184</v>
      </c>
      <c r="B42" s="102" t="s">
        <v>2185</v>
      </c>
      <c r="C42" s="102"/>
    </row>
    <row r="43" spans="1:3" ht="28.8" x14ac:dyDescent="0.3">
      <c r="A43" s="115" t="s">
        <v>2186</v>
      </c>
      <c r="B43" s="138" t="s">
        <v>2187</v>
      </c>
      <c r="C43" s="138"/>
    </row>
  </sheetData>
  <mergeCells count="30">
    <mergeCell ref="B39:C39"/>
    <mergeCell ref="A1:C1"/>
    <mergeCell ref="A2:C2"/>
    <mergeCell ref="A3:C3"/>
    <mergeCell ref="B6:C6"/>
    <mergeCell ref="B7:C7"/>
    <mergeCell ref="B8:C8"/>
    <mergeCell ref="A11:C11"/>
    <mergeCell ref="B14:C14"/>
    <mergeCell ref="B15:C15"/>
    <mergeCell ref="B16:C16"/>
    <mergeCell ref="B17:C17"/>
    <mergeCell ref="B18:C18"/>
    <mergeCell ref="B19:C19"/>
    <mergeCell ref="B20:C20"/>
    <mergeCell ref="B23:C23"/>
    <mergeCell ref="B21:C21"/>
    <mergeCell ref="B24:C24"/>
    <mergeCell ref="B25:C25"/>
    <mergeCell ref="B26:C26"/>
    <mergeCell ref="B27:C27"/>
    <mergeCell ref="B28:C28"/>
    <mergeCell ref="B36:C36"/>
    <mergeCell ref="B37:C37"/>
    <mergeCell ref="B38:C38"/>
    <mergeCell ref="B29:C29"/>
    <mergeCell ref="B30:C30"/>
    <mergeCell ref="B31:C31"/>
    <mergeCell ref="B32:C32"/>
    <mergeCell ref="B35:C35"/>
  </mergeCell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09"/>
  <sheetViews>
    <sheetView tabSelected="1" zoomScale="90" zoomScaleNormal="90" workbookViewId="0">
      <pane xSplit="2" ySplit="4" topLeftCell="C5" activePane="bottomRight" state="frozen"/>
      <selection pane="topRight" activeCell="C1" sqref="C1"/>
      <selection pane="bottomLeft" activeCell="A5" sqref="A5"/>
      <selection pane="bottomRight" activeCell="A13" sqref="A13:C32"/>
    </sheetView>
  </sheetViews>
  <sheetFormatPr defaultColWidth="8.6640625" defaultRowHeight="14.4" x14ac:dyDescent="0.3"/>
  <cols>
    <col min="1" max="1" width="16.77734375" bestFit="1" customWidth="1"/>
    <col min="2" max="2" width="13.33203125" bestFit="1" customWidth="1"/>
    <col min="3" max="3" width="22.5546875" bestFit="1" customWidth="1"/>
    <col min="4" max="4" width="12" bestFit="1" customWidth="1"/>
    <col min="5" max="5" width="17" customWidth="1"/>
    <col min="6" max="6" width="19.77734375" bestFit="1" customWidth="1"/>
    <col min="7" max="7" width="16.109375" bestFit="1" customWidth="1"/>
    <col min="8" max="8" width="22.33203125" bestFit="1" customWidth="1"/>
    <col min="9" max="9" width="48.109375" customWidth="1"/>
    <col min="10" max="10" width="21.109375" bestFit="1" customWidth="1"/>
    <col min="11" max="11" width="11.5546875" bestFit="1" customWidth="1"/>
    <col min="12" max="12" width="10.44140625" bestFit="1" customWidth="1"/>
    <col min="13" max="13" width="17.5546875" bestFit="1" customWidth="1"/>
    <col min="14" max="14" width="11.5546875" bestFit="1" customWidth="1"/>
    <col min="15" max="15" width="16.33203125" bestFit="1" customWidth="1"/>
    <col min="16" max="16" width="9.88671875" bestFit="1" customWidth="1"/>
    <col min="17" max="17" width="55.5546875" customWidth="1"/>
    <col min="18" max="18" width="11" bestFit="1" customWidth="1"/>
    <col min="19" max="19" width="17.21875" bestFit="1" customWidth="1"/>
    <col min="20" max="20" width="17" bestFit="1" customWidth="1"/>
  </cols>
  <sheetData>
    <row r="1" spans="1:20" ht="14.4" customHeight="1" x14ac:dyDescent="0.3">
      <c r="A1" s="47" t="s">
        <v>2188</v>
      </c>
      <c r="B1" s="47"/>
      <c r="C1" s="47"/>
      <c r="D1" s="47"/>
      <c r="E1" s="47"/>
      <c r="F1" s="47"/>
      <c r="G1" s="47"/>
      <c r="H1" s="47"/>
      <c r="I1" s="47"/>
      <c r="J1" s="47"/>
      <c r="K1" s="47"/>
      <c r="L1" s="47"/>
      <c r="M1" s="47"/>
      <c r="N1" s="47"/>
      <c r="O1" s="47"/>
      <c r="P1" s="47"/>
      <c r="Q1" s="47"/>
      <c r="R1" s="47"/>
      <c r="S1" s="47"/>
      <c r="T1" s="47"/>
    </row>
    <row r="2" spans="1:20" x14ac:dyDescent="0.3">
      <c r="A2" s="48" t="s">
        <v>52</v>
      </c>
      <c r="B2" s="48"/>
      <c r="C2" s="48"/>
      <c r="D2" s="48"/>
      <c r="E2" s="48"/>
      <c r="F2" s="48"/>
      <c r="G2" s="48"/>
      <c r="H2" s="48"/>
      <c r="I2" s="48"/>
      <c r="J2" s="48"/>
      <c r="K2" s="48"/>
      <c r="L2" s="48"/>
      <c r="M2" s="48"/>
      <c r="N2" s="48"/>
      <c r="O2" s="48"/>
      <c r="P2" s="48"/>
      <c r="Q2" s="48"/>
      <c r="R2" s="48"/>
      <c r="S2" s="48"/>
      <c r="T2" s="48"/>
    </row>
    <row r="4" spans="1:20" ht="41.4" x14ac:dyDescent="0.3">
      <c r="A4" s="82" t="s">
        <v>53</v>
      </c>
      <c r="B4" s="82" t="s">
        <v>54</v>
      </c>
      <c r="C4" s="82" t="s">
        <v>55</v>
      </c>
      <c r="D4" s="82" t="s">
        <v>56</v>
      </c>
      <c r="E4" s="82" t="s">
        <v>57</v>
      </c>
      <c r="F4" s="82" t="s">
        <v>58</v>
      </c>
      <c r="G4" s="82" t="s">
        <v>59</v>
      </c>
      <c r="H4" s="82" t="s">
        <v>60</v>
      </c>
      <c r="I4" s="82" t="s">
        <v>61</v>
      </c>
      <c r="J4" s="82" t="s">
        <v>62</v>
      </c>
      <c r="K4" s="82" t="s">
        <v>63</v>
      </c>
      <c r="L4" s="82" t="s">
        <v>64</v>
      </c>
      <c r="M4" s="82" t="s">
        <v>65</v>
      </c>
      <c r="N4" s="82" t="s">
        <v>66</v>
      </c>
      <c r="O4" s="82" t="s">
        <v>67</v>
      </c>
      <c r="P4" s="82" t="s">
        <v>68</v>
      </c>
      <c r="Q4" s="82" t="s">
        <v>69</v>
      </c>
      <c r="R4" s="82" t="s">
        <v>70</v>
      </c>
      <c r="S4" s="82" t="s">
        <v>71</v>
      </c>
      <c r="T4" s="82" t="s">
        <v>72</v>
      </c>
    </row>
    <row r="5" spans="1:20" ht="57.6" x14ac:dyDescent="0.3">
      <c r="A5" s="64" t="s">
        <v>383</v>
      </c>
      <c r="B5" s="64" t="s">
        <v>73</v>
      </c>
      <c r="C5" s="64" t="s">
        <v>384</v>
      </c>
      <c r="D5" s="64" t="s">
        <v>74</v>
      </c>
      <c r="E5" s="64" t="s">
        <v>75</v>
      </c>
      <c r="F5" s="64" t="s">
        <v>76</v>
      </c>
      <c r="G5" s="64" t="s">
        <v>77</v>
      </c>
      <c r="H5" s="64" t="s">
        <v>672</v>
      </c>
      <c r="I5" s="64" t="s">
        <v>673</v>
      </c>
      <c r="J5" s="64" t="s">
        <v>78</v>
      </c>
      <c r="K5" s="64" t="s">
        <v>79</v>
      </c>
      <c r="L5" s="64" t="s">
        <v>80</v>
      </c>
      <c r="M5" s="64" t="s">
        <v>97</v>
      </c>
      <c r="N5" s="64" t="s">
        <v>1208</v>
      </c>
      <c r="O5" s="64" t="s">
        <v>1209</v>
      </c>
      <c r="P5" s="64" t="s">
        <v>82</v>
      </c>
      <c r="Q5" s="64" t="s">
        <v>2076</v>
      </c>
      <c r="R5" s="90">
        <f>IF(B5="","",COUNTIF('Part Routes'!$B:$B,B5))</f>
        <v>9</v>
      </c>
      <c r="S5" s="90">
        <f>IF(B5="","",IF(D5="PV",COUNTIFS('Part Routes'!$B:$B,B5,'Part Routes'!$I:$I,""),IF(D5="HE",COUNTIFS('Part Routes'!$B:$B,B5,'Part Routes'!$J:$J,""),COUNTIFS('Part Routes'!$B:$B,B5,'Part Routes'!$I:$I,"")+COUNTIFS('Part Routes'!$B:$B,B5,'Part Routes'!$J:$J,""))))</f>
        <v>0</v>
      </c>
      <c r="T5" s="90">
        <f t="shared" ref="T5:T68" si="0">IF(B5="","",IF(M5="Assumed – to be confirmed",R5,0))</f>
        <v>9</v>
      </c>
    </row>
    <row r="6" spans="1:20" ht="72" x14ac:dyDescent="0.3">
      <c r="A6" s="64" t="s">
        <v>383</v>
      </c>
      <c r="B6" s="64" t="s">
        <v>385</v>
      </c>
      <c r="C6" s="64" t="s">
        <v>386</v>
      </c>
      <c r="D6" s="64" t="s">
        <v>74</v>
      </c>
      <c r="E6" s="64" t="s">
        <v>344</v>
      </c>
      <c r="F6" s="64" t="s">
        <v>76</v>
      </c>
      <c r="G6" s="64" t="s">
        <v>77</v>
      </c>
      <c r="H6" s="64" t="s">
        <v>672</v>
      </c>
      <c r="I6" s="64" t="s">
        <v>674</v>
      </c>
      <c r="J6" s="64" t="s">
        <v>366</v>
      </c>
      <c r="K6" s="64" t="s">
        <v>675</v>
      </c>
      <c r="L6" s="64" t="s">
        <v>80</v>
      </c>
      <c r="M6" s="64" t="s">
        <v>97</v>
      </c>
      <c r="N6" s="64" t="s">
        <v>1208</v>
      </c>
      <c r="O6" s="64" t="s">
        <v>1209</v>
      </c>
      <c r="P6" s="64" t="s">
        <v>82</v>
      </c>
      <c r="Q6" s="64" t="s">
        <v>2077</v>
      </c>
      <c r="R6" s="90">
        <f>IF(B6="","",COUNTIF('Part Routes'!$B:$B,B6))</f>
        <v>16</v>
      </c>
      <c r="S6" s="90">
        <f>IF(B6="","",IF(D6="PV",COUNTIFS('Part Routes'!$B:$B,B6,'Part Routes'!$I:$I,""),IF(D6="HE",COUNTIFS('Part Routes'!$B:$B,B6,'Part Routes'!$J:$J,""),COUNTIFS('Part Routes'!$B:$B,B6,'Part Routes'!$I:$I,"")+COUNTIFS('Part Routes'!$B:$B,B6,'Part Routes'!$J:$J,""))))</f>
        <v>0</v>
      </c>
      <c r="T6" s="90">
        <f t="shared" si="0"/>
        <v>16</v>
      </c>
    </row>
    <row r="7" spans="1:20" ht="57.6" x14ac:dyDescent="0.3">
      <c r="A7" s="64" t="s">
        <v>383</v>
      </c>
      <c r="B7" s="64" t="s">
        <v>83</v>
      </c>
      <c r="C7" s="64" t="s">
        <v>84</v>
      </c>
      <c r="D7" s="64" t="s">
        <v>74</v>
      </c>
      <c r="E7" s="64" t="s">
        <v>85</v>
      </c>
      <c r="F7" s="64" t="s">
        <v>76</v>
      </c>
      <c r="G7" s="64" t="s">
        <v>86</v>
      </c>
      <c r="H7" s="64" t="s">
        <v>676</v>
      </c>
      <c r="I7" s="64" t="s">
        <v>677</v>
      </c>
      <c r="J7" s="64" t="s">
        <v>87</v>
      </c>
      <c r="K7" s="64" t="s">
        <v>79</v>
      </c>
      <c r="L7" s="64" t="s">
        <v>80</v>
      </c>
      <c r="M7" s="64" t="s">
        <v>97</v>
      </c>
      <c r="N7" s="64" t="s">
        <v>1208</v>
      </c>
      <c r="O7" s="64" t="s">
        <v>1209</v>
      </c>
      <c r="P7" s="64" t="s">
        <v>82</v>
      </c>
      <c r="Q7" s="64" t="s">
        <v>2078</v>
      </c>
      <c r="R7" s="90">
        <f>IF(B7="","",COUNTIF('Part Routes'!$B:$B,B7))</f>
        <v>9</v>
      </c>
      <c r="S7" s="90">
        <f>IF(B7="","",IF(D7="PV",COUNTIFS('Part Routes'!$B:$B,B7,'Part Routes'!$I:$I,""),IF(D7="HE",COUNTIFS('Part Routes'!$B:$B,B7,'Part Routes'!$J:$J,""),COUNTIFS('Part Routes'!$B:$B,B7,'Part Routes'!$I:$I,"")+COUNTIFS('Part Routes'!$B:$B,B7,'Part Routes'!$J:$J,""))))</f>
        <v>0</v>
      </c>
      <c r="T7" s="90">
        <f t="shared" si="0"/>
        <v>9</v>
      </c>
    </row>
    <row r="8" spans="1:20" ht="57.6" x14ac:dyDescent="0.3">
      <c r="A8" s="64" t="s">
        <v>383</v>
      </c>
      <c r="B8" s="64" t="s">
        <v>387</v>
      </c>
      <c r="C8" s="64" t="s">
        <v>388</v>
      </c>
      <c r="D8" s="64" t="s">
        <v>74</v>
      </c>
      <c r="E8" s="64" t="s">
        <v>354</v>
      </c>
      <c r="F8" s="64" t="s">
        <v>92</v>
      </c>
      <c r="G8" s="64" t="s">
        <v>93</v>
      </c>
      <c r="H8" s="64" t="s">
        <v>678</v>
      </c>
      <c r="I8" s="64" t="s">
        <v>679</v>
      </c>
      <c r="J8" s="64" t="s">
        <v>356</v>
      </c>
      <c r="K8" s="64" t="s">
        <v>79</v>
      </c>
      <c r="L8" s="64" t="s">
        <v>80</v>
      </c>
      <c r="M8" s="64" t="s">
        <v>97</v>
      </c>
      <c r="N8" s="64" t="s">
        <v>1208</v>
      </c>
      <c r="O8" s="64" t="s">
        <v>1209</v>
      </c>
      <c r="P8" s="64" t="s">
        <v>82</v>
      </c>
      <c r="Q8" s="64" t="s">
        <v>2079</v>
      </c>
      <c r="R8" s="90">
        <f>IF(B8="","",COUNTIF('Part Routes'!$B:$B,B8))</f>
        <v>5</v>
      </c>
      <c r="S8" s="90">
        <f>IF(B8="","",IF(D8="PV",COUNTIFS('Part Routes'!$B:$B,B8,'Part Routes'!$I:$I,""),IF(D8="HE",COUNTIFS('Part Routes'!$B:$B,B8,'Part Routes'!$J:$J,""),COUNTIFS('Part Routes'!$B:$B,B8,'Part Routes'!$I:$I,"")+COUNTIFS('Part Routes'!$B:$B,B8,'Part Routes'!$J:$J,""))))</f>
        <v>0</v>
      </c>
      <c r="T8" s="90">
        <f t="shared" si="0"/>
        <v>5</v>
      </c>
    </row>
    <row r="9" spans="1:20" ht="43.2" x14ac:dyDescent="0.3">
      <c r="A9" s="65" t="s">
        <v>383</v>
      </c>
      <c r="B9" s="64" t="s">
        <v>88</v>
      </c>
      <c r="C9" s="64" t="s">
        <v>89</v>
      </c>
      <c r="D9" s="64" t="s">
        <v>90</v>
      </c>
      <c r="E9" s="64" t="s">
        <v>91</v>
      </c>
      <c r="F9" s="64" t="s">
        <v>92</v>
      </c>
      <c r="G9" s="64" t="s">
        <v>93</v>
      </c>
      <c r="H9" s="64" t="s">
        <v>389</v>
      </c>
      <c r="I9" s="64" t="s">
        <v>390</v>
      </c>
      <c r="J9" s="64" t="s">
        <v>94</v>
      </c>
      <c r="K9" s="64" t="s">
        <v>79</v>
      </c>
      <c r="L9" s="64" t="s">
        <v>80</v>
      </c>
      <c r="M9" s="66" t="s">
        <v>97</v>
      </c>
      <c r="N9" s="66" t="s">
        <v>1208</v>
      </c>
      <c r="O9" s="66" t="s">
        <v>1209</v>
      </c>
      <c r="P9" s="66" t="s">
        <v>82</v>
      </c>
      <c r="Q9" s="64" t="s">
        <v>680</v>
      </c>
      <c r="R9" s="90">
        <f>IF(B9="","",COUNTIF('Part Routes'!$B:$B,B9))</f>
        <v>7</v>
      </c>
      <c r="S9" s="90">
        <f>IF(B9="","",IF(D9="PV",COUNTIFS('Part Routes'!$B:$B,B9,'Part Routes'!$I:$I,""),IF(D9="HE",COUNTIFS('Part Routes'!$B:$B,B9,'Part Routes'!$J:$J,""),COUNTIFS('Part Routes'!$B:$B,B9,'Part Routes'!$I:$I,"")+COUNTIFS('Part Routes'!$B:$B,B9,'Part Routes'!$J:$J,""))))</f>
        <v>0</v>
      </c>
      <c r="T9" s="90">
        <f t="shared" si="0"/>
        <v>7</v>
      </c>
    </row>
    <row r="10" spans="1:20" ht="41.4" x14ac:dyDescent="0.3">
      <c r="A10" s="70" t="s">
        <v>383</v>
      </c>
      <c r="B10" s="68" t="s">
        <v>391</v>
      </c>
      <c r="C10" s="68" t="s">
        <v>350</v>
      </c>
      <c r="D10" s="68" t="s">
        <v>90</v>
      </c>
      <c r="E10" s="68" t="s">
        <v>91</v>
      </c>
      <c r="F10" s="68" t="s">
        <v>101</v>
      </c>
      <c r="G10" s="68" t="s">
        <v>350</v>
      </c>
      <c r="H10" s="68" t="s">
        <v>681</v>
      </c>
      <c r="I10" s="68" t="s">
        <v>682</v>
      </c>
      <c r="J10" s="68" t="s">
        <v>87</v>
      </c>
      <c r="K10" s="68" t="s">
        <v>79</v>
      </c>
      <c r="L10" s="68" t="s">
        <v>104</v>
      </c>
      <c r="M10" s="71" t="s">
        <v>97</v>
      </c>
      <c r="N10" s="71" t="s">
        <v>1208</v>
      </c>
      <c r="O10" s="71" t="s">
        <v>1209</v>
      </c>
      <c r="P10" s="71" t="s">
        <v>82</v>
      </c>
      <c r="Q10" s="68" t="s">
        <v>683</v>
      </c>
      <c r="R10" s="69">
        <f>IF(B10="","",COUNTIF('Part Routes'!$B:$B,B10))</f>
        <v>5</v>
      </c>
      <c r="S10" s="69">
        <f>IF(B10="","",IF(D10="PV",COUNTIFS('Part Routes'!$B:$B,B10,'Part Routes'!$I:$I,""),IF(D10="HE",COUNTIFS('Part Routes'!$B:$B,B10,'Part Routes'!$J:$J,""),COUNTIFS('Part Routes'!$B:$B,B10,'Part Routes'!$I:$I,"")+COUNTIFS('Part Routes'!$B:$B,B10,'Part Routes'!$J:$J,""))))</f>
        <v>0</v>
      </c>
      <c r="T10" s="69">
        <f t="shared" si="0"/>
        <v>5</v>
      </c>
    </row>
    <row r="11" spans="1:20" ht="41.4" x14ac:dyDescent="0.3">
      <c r="A11" s="70" t="s">
        <v>383</v>
      </c>
      <c r="B11" s="68" t="s">
        <v>95</v>
      </c>
      <c r="C11" s="68" t="s">
        <v>96</v>
      </c>
      <c r="D11" s="68" t="s">
        <v>90</v>
      </c>
      <c r="E11" s="68" t="s">
        <v>91</v>
      </c>
      <c r="F11" s="68" t="s">
        <v>76</v>
      </c>
      <c r="G11" s="68" t="s">
        <v>77</v>
      </c>
      <c r="H11" s="68" t="s">
        <v>392</v>
      </c>
      <c r="I11" s="68" t="s">
        <v>393</v>
      </c>
      <c r="J11" s="68" t="s">
        <v>94</v>
      </c>
      <c r="K11" s="68" t="s">
        <v>79</v>
      </c>
      <c r="L11" s="68" t="s">
        <v>80</v>
      </c>
      <c r="M11" s="71" t="s">
        <v>97</v>
      </c>
      <c r="N11" s="71" t="s">
        <v>1208</v>
      </c>
      <c r="O11" s="71" t="s">
        <v>1209</v>
      </c>
      <c r="P11" s="71" t="s">
        <v>82</v>
      </c>
      <c r="Q11" s="68" t="s">
        <v>684</v>
      </c>
      <c r="R11" s="69">
        <f>IF(B11="","",COUNTIF('Part Routes'!$B:$B,B11))</f>
        <v>6</v>
      </c>
      <c r="S11" s="69">
        <f>IF(B11="","",IF(D11="PV",COUNTIFS('Part Routes'!$B:$B,B11,'Part Routes'!$I:$I,""),IF(D11="HE",COUNTIFS('Part Routes'!$B:$B,B11,'Part Routes'!$J:$J,""),COUNTIFS('Part Routes'!$B:$B,B11,'Part Routes'!$I:$I,"")+COUNTIFS('Part Routes'!$B:$B,B11,'Part Routes'!$J:$J,""))))</f>
        <v>0</v>
      </c>
      <c r="T11" s="69">
        <f t="shared" si="0"/>
        <v>6</v>
      </c>
    </row>
    <row r="12" spans="1:20" ht="41.4" x14ac:dyDescent="0.3">
      <c r="A12" s="70" t="s">
        <v>383</v>
      </c>
      <c r="B12" s="68" t="s">
        <v>394</v>
      </c>
      <c r="C12" s="68" t="s">
        <v>395</v>
      </c>
      <c r="D12" s="68" t="s">
        <v>74</v>
      </c>
      <c r="E12" s="68" t="s">
        <v>370</v>
      </c>
      <c r="F12" s="68" t="s">
        <v>76</v>
      </c>
      <c r="G12" s="68" t="s">
        <v>369</v>
      </c>
      <c r="H12" s="68" t="s">
        <v>685</v>
      </c>
      <c r="I12" s="68" t="s">
        <v>686</v>
      </c>
      <c r="J12" s="68" t="s">
        <v>371</v>
      </c>
      <c r="K12" s="68" t="s">
        <v>79</v>
      </c>
      <c r="L12" s="68" t="s">
        <v>80</v>
      </c>
      <c r="M12" s="71" t="s">
        <v>97</v>
      </c>
      <c r="N12" s="71" t="s">
        <v>1208</v>
      </c>
      <c r="O12" s="71" t="s">
        <v>1209</v>
      </c>
      <c r="P12" s="71" t="s">
        <v>82</v>
      </c>
      <c r="Q12" s="68" t="s">
        <v>687</v>
      </c>
      <c r="R12" s="69">
        <f>IF(B12="","",COUNTIF('Part Routes'!$B:$B,B12))</f>
        <v>10</v>
      </c>
      <c r="S12" s="69">
        <f>IF(B12="","",IF(D12="PV",COUNTIFS('Part Routes'!$B:$B,B12,'Part Routes'!$I:$I,""),IF(D12="HE",COUNTIFS('Part Routes'!$B:$B,B12,'Part Routes'!$J:$J,""),COUNTIFS('Part Routes'!$B:$B,B12,'Part Routes'!$I:$I,"")+COUNTIFS('Part Routes'!$B:$B,B12,'Part Routes'!$J:$J,""))))</f>
        <v>0</v>
      </c>
      <c r="T12" s="69">
        <f t="shared" si="0"/>
        <v>10</v>
      </c>
    </row>
    <row r="13" spans="1:20" ht="41.4" x14ac:dyDescent="0.3">
      <c r="A13" s="68" t="s">
        <v>383</v>
      </c>
      <c r="B13" s="68" t="s">
        <v>98</v>
      </c>
      <c r="C13" s="68" t="s">
        <v>99</v>
      </c>
      <c r="D13" s="68" t="s">
        <v>74</v>
      </c>
      <c r="E13" s="68" t="s">
        <v>100</v>
      </c>
      <c r="F13" s="68" t="s">
        <v>101</v>
      </c>
      <c r="G13" s="68" t="s">
        <v>102</v>
      </c>
      <c r="H13" s="68" t="s">
        <v>688</v>
      </c>
      <c r="I13" s="68" t="s">
        <v>689</v>
      </c>
      <c r="J13" s="68" t="s">
        <v>103</v>
      </c>
      <c r="K13" s="68" t="s">
        <v>79</v>
      </c>
      <c r="L13" s="68" t="s">
        <v>104</v>
      </c>
      <c r="M13" s="68" t="s">
        <v>97</v>
      </c>
      <c r="N13" s="68" t="s">
        <v>1208</v>
      </c>
      <c r="O13" s="68" t="s">
        <v>1209</v>
      </c>
      <c r="P13" s="68" t="s">
        <v>82</v>
      </c>
      <c r="Q13" s="68" t="s">
        <v>2080</v>
      </c>
      <c r="R13" s="69">
        <f>IF(B13="","",COUNTIF('Part Routes'!$B:$B,B13))</f>
        <v>3</v>
      </c>
      <c r="S13" s="69">
        <f>IF(B13="","",IF(D13="PV",COUNTIFS('Part Routes'!$B:$B,B13,'Part Routes'!$I:$I,""),IF(D13="HE",COUNTIFS('Part Routes'!$B:$B,B13,'Part Routes'!$J:$J,""),COUNTIFS('Part Routes'!$B:$B,B13,'Part Routes'!$I:$I,"")+COUNTIFS('Part Routes'!$B:$B,B13,'Part Routes'!$J:$J,""))))</f>
        <v>0</v>
      </c>
      <c r="T13" s="69">
        <f t="shared" si="0"/>
        <v>3</v>
      </c>
    </row>
    <row r="14" spans="1:20" ht="55.2" x14ac:dyDescent="0.3">
      <c r="A14" s="73" t="s">
        <v>383</v>
      </c>
      <c r="B14" s="73" t="s">
        <v>396</v>
      </c>
      <c r="C14" s="73" t="s">
        <v>397</v>
      </c>
      <c r="D14" s="73" t="s">
        <v>74</v>
      </c>
      <c r="E14" s="73" t="s">
        <v>100</v>
      </c>
      <c r="F14" s="73" t="s">
        <v>101</v>
      </c>
      <c r="G14" s="73" t="s">
        <v>102</v>
      </c>
      <c r="H14" s="73" t="s">
        <v>690</v>
      </c>
      <c r="I14" s="73" t="s">
        <v>691</v>
      </c>
      <c r="J14" s="73" t="s">
        <v>103</v>
      </c>
      <c r="K14" s="73" t="s">
        <v>79</v>
      </c>
      <c r="L14" s="73" t="s">
        <v>104</v>
      </c>
      <c r="M14" s="73" t="s">
        <v>97</v>
      </c>
      <c r="N14" s="73" t="s">
        <v>1208</v>
      </c>
      <c r="O14" s="73" t="s">
        <v>1209</v>
      </c>
      <c r="P14" s="73" t="s">
        <v>82</v>
      </c>
      <c r="Q14" s="73" t="s">
        <v>2081</v>
      </c>
      <c r="R14" s="74">
        <f>IF(B14="","",COUNTIF('Part Routes'!$B:$B,B14))</f>
        <v>3</v>
      </c>
      <c r="S14" s="74">
        <f>IF(B14="","",IF(D14="PV",COUNTIFS('Part Routes'!$B:$B,B14,'Part Routes'!$I:$I,""),IF(D14="HE",COUNTIFS('Part Routes'!$B:$B,B14,'Part Routes'!$J:$J,""),COUNTIFS('Part Routes'!$B:$B,B14,'Part Routes'!$I:$I,"")+COUNTIFS('Part Routes'!$B:$B,B14,'Part Routes'!$J:$J,""))))</f>
        <v>0</v>
      </c>
      <c r="T14" s="74">
        <f t="shared" si="0"/>
        <v>3</v>
      </c>
    </row>
    <row r="15" spans="1:20" ht="41.4" x14ac:dyDescent="0.3">
      <c r="A15" s="36" t="s">
        <v>692</v>
      </c>
      <c r="B15" s="36" t="s">
        <v>693</v>
      </c>
      <c r="C15" s="24" t="s">
        <v>694</v>
      </c>
      <c r="D15" s="24" t="s">
        <v>90</v>
      </c>
      <c r="E15" s="24" t="s">
        <v>85</v>
      </c>
      <c r="F15" s="24" t="s">
        <v>76</v>
      </c>
      <c r="G15" s="24" t="s">
        <v>77</v>
      </c>
      <c r="H15" s="24" t="s">
        <v>672</v>
      </c>
      <c r="I15" s="24" t="s">
        <v>695</v>
      </c>
      <c r="J15" s="24" t="s">
        <v>356</v>
      </c>
      <c r="K15" s="24" t="s">
        <v>79</v>
      </c>
      <c r="L15" s="24" t="s">
        <v>80</v>
      </c>
      <c r="M15" s="24" t="s">
        <v>349</v>
      </c>
      <c r="N15" s="24"/>
      <c r="O15" s="24"/>
      <c r="P15" s="24" t="s">
        <v>82</v>
      </c>
      <c r="Q15" s="27" t="s">
        <v>696</v>
      </c>
      <c r="R15" s="26">
        <f>IF(B15="","",COUNTIF('Part Routes'!$B:$B,B15))</f>
        <v>0</v>
      </c>
      <c r="S15" s="26">
        <f>IF(B15="","",IF(D15="PV",COUNTIFS('Part Routes'!$B:$B,B15,'Part Routes'!$I:$I,""),IF(D15="HE",COUNTIFS('Part Routes'!$B:$B,B15,'Part Routes'!$J:$J,""),COUNTIFS('Part Routes'!$B:$B,B15,'Part Routes'!$I:$I,"")+COUNTIFS('Part Routes'!$B:$B,B15,'Part Routes'!$J:$J,""))))</f>
        <v>0</v>
      </c>
      <c r="T15" s="26">
        <f t="shared" ref="T15:T34" si="1">IF(B15="","",IF(M15="Assumed – to be confirmed",R15,0))</f>
        <v>0</v>
      </c>
    </row>
    <row r="16" spans="1:20" ht="41.4" x14ac:dyDescent="0.3">
      <c r="A16" s="36" t="s">
        <v>692</v>
      </c>
      <c r="B16" s="36" t="s">
        <v>697</v>
      </c>
      <c r="C16" s="24" t="s">
        <v>698</v>
      </c>
      <c r="D16" s="24" t="s">
        <v>90</v>
      </c>
      <c r="E16" s="24" t="s">
        <v>91</v>
      </c>
      <c r="F16" s="24" t="s">
        <v>76</v>
      </c>
      <c r="G16" s="24" t="s">
        <v>77</v>
      </c>
      <c r="H16" s="24" t="s">
        <v>672</v>
      </c>
      <c r="I16" s="24" t="s">
        <v>699</v>
      </c>
      <c r="J16" s="24" t="s">
        <v>94</v>
      </c>
      <c r="K16" s="24" t="s">
        <v>79</v>
      </c>
      <c r="L16" s="24" t="s">
        <v>80</v>
      </c>
      <c r="M16" s="24" t="s">
        <v>349</v>
      </c>
      <c r="N16" s="24"/>
      <c r="O16" s="24"/>
      <c r="P16" s="24" t="s">
        <v>82</v>
      </c>
      <c r="Q16" s="27" t="s">
        <v>700</v>
      </c>
      <c r="R16" s="26">
        <f>IF(B16="","",COUNTIF('Part Routes'!$B:$B,B16))</f>
        <v>7</v>
      </c>
      <c r="S16" s="26">
        <f>IF(B16="","",IF(D16="PV",COUNTIFS('Part Routes'!$B:$B,B16,'Part Routes'!$I:$I,""),IF(D16="HE",COUNTIFS('Part Routes'!$B:$B,B16,'Part Routes'!$J:$J,""),COUNTIFS('Part Routes'!$B:$B,B16,'Part Routes'!$I:$I,"")+COUNTIFS('Part Routes'!$B:$B,B16,'Part Routes'!$J:$J,""))))</f>
        <v>7</v>
      </c>
      <c r="T16" s="26">
        <f t="shared" si="1"/>
        <v>0</v>
      </c>
    </row>
    <row r="17" spans="1:20" ht="41.4" x14ac:dyDescent="0.3">
      <c r="A17" s="36" t="s">
        <v>692</v>
      </c>
      <c r="B17" s="36" t="s">
        <v>701</v>
      </c>
      <c r="C17" s="24" t="s">
        <v>702</v>
      </c>
      <c r="D17" s="24" t="s">
        <v>90</v>
      </c>
      <c r="E17" s="24" t="s">
        <v>100</v>
      </c>
      <c r="F17" s="24" t="s">
        <v>101</v>
      </c>
      <c r="G17" s="24" t="s">
        <v>102</v>
      </c>
      <c r="H17" s="24" t="s">
        <v>703</v>
      </c>
      <c r="I17" s="24" t="s">
        <v>704</v>
      </c>
      <c r="J17" s="24" t="s">
        <v>103</v>
      </c>
      <c r="K17" s="24" t="s">
        <v>79</v>
      </c>
      <c r="L17" s="24" t="s">
        <v>104</v>
      </c>
      <c r="M17" s="24" t="s">
        <v>349</v>
      </c>
      <c r="N17" s="24"/>
      <c r="O17" s="24"/>
      <c r="P17" s="24" t="s">
        <v>82</v>
      </c>
      <c r="Q17" s="27" t="s">
        <v>705</v>
      </c>
      <c r="R17" s="26">
        <f>IF(B17="","",COUNTIF('Part Routes'!$B:$B,B17))</f>
        <v>0</v>
      </c>
      <c r="S17" s="26">
        <f>IF(B17="","",IF(D17="PV",COUNTIFS('Part Routes'!$B:$B,B17,'Part Routes'!$I:$I,""),IF(D17="HE",COUNTIFS('Part Routes'!$B:$B,B17,'Part Routes'!$J:$J,""),COUNTIFS('Part Routes'!$B:$B,B17,'Part Routes'!$I:$I,"")+COUNTIFS('Part Routes'!$B:$B,B17,'Part Routes'!$J:$J,""))))</f>
        <v>0</v>
      </c>
      <c r="T17" s="26">
        <f t="shared" si="1"/>
        <v>0</v>
      </c>
    </row>
    <row r="18" spans="1:20" ht="41.4" x14ac:dyDescent="0.3">
      <c r="A18" s="36" t="s">
        <v>692</v>
      </c>
      <c r="B18" s="36" t="s">
        <v>706</v>
      </c>
      <c r="C18" s="24" t="s">
        <v>707</v>
      </c>
      <c r="D18" s="24" t="s">
        <v>90</v>
      </c>
      <c r="E18" s="24" t="s">
        <v>100</v>
      </c>
      <c r="F18" s="24" t="s">
        <v>101</v>
      </c>
      <c r="G18" s="24" t="s">
        <v>102</v>
      </c>
      <c r="H18" s="24" t="s">
        <v>708</v>
      </c>
      <c r="I18" s="24" t="s">
        <v>709</v>
      </c>
      <c r="J18" s="24" t="s">
        <v>103</v>
      </c>
      <c r="K18" s="24" t="s">
        <v>79</v>
      </c>
      <c r="L18" s="24" t="s">
        <v>104</v>
      </c>
      <c r="M18" s="24" t="s">
        <v>349</v>
      </c>
      <c r="N18" s="24"/>
      <c r="O18" s="24"/>
      <c r="P18" s="24" t="s">
        <v>82</v>
      </c>
      <c r="Q18" s="27" t="s">
        <v>705</v>
      </c>
      <c r="R18" s="26">
        <f>IF(B18="","",COUNTIF('Part Routes'!$B:$B,B18))</f>
        <v>0</v>
      </c>
      <c r="S18" s="26">
        <f>IF(B18="","",IF(D18="PV",COUNTIFS('Part Routes'!$B:$B,B18,'Part Routes'!$I:$I,""),IF(D18="HE",COUNTIFS('Part Routes'!$B:$B,B18,'Part Routes'!$J:$J,""),COUNTIFS('Part Routes'!$B:$B,B18,'Part Routes'!$I:$I,"")+COUNTIFS('Part Routes'!$B:$B,B18,'Part Routes'!$J:$J,""))))</f>
        <v>0</v>
      </c>
      <c r="T18" s="26">
        <f t="shared" si="1"/>
        <v>0</v>
      </c>
    </row>
    <row r="19" spans="1:20" ht="41.4" x14ac:dyDescent="0.3">
      <c r="A19" s="36" t="s">
        <v>692</v>
      </c>
      <c r="B19" s="36" t="s">
        <v>710</v>
      </c>
      <c r="C19" s="24" t="s">
        <v>711</v>
      </c>
      <c r="D19" s="24" t="s">
        <v>90</v>
      </c>
      <c r="E19" s="24" t="s">
        <v>91</v>
      </c>
      <c r="F19" s="24" t="s">
        <v>101</v>
      </c>
      <c r="G19" s="24" t="s">
        <v>102</v>
      </c>
      <c r="H19" s="24" t="s">
        <v>712</v>
      </c>
      <c r="I19" s="24" t="s">
        <v>713</v>
      </c>
      <c r="J19" s="24" t="s">
        <v>103</v>
      </c>
      <c r="K19" s="24" t="s">
        <v>79</v>
      </c>
      <c r="L19" s="24" t="s">
        <v>104</v>
      </c>
      <c r="M19" s="24" t="s">
        <v>349</v>
      </c>
      <c r="N19" s="24"/>
      <c r="O19" s="24"/>
      <c r="P19" s="24" t="s">
        <v>82</v>
      </c>
      <c r="Q19" s="27" t="s">
        <v>714</v>
      </c>
      <c r="R19" s="26">
        <f>IF(B19="","",COUNTIF('Part Routes'!$B:$B,B19))</f>
        <v>0</v>
      </c>
      <c r="S19" s="26">
        <f>IF(B19="","",IF(D19="PV",COUNTIFS('Part Routes'!$B:$B,B19,'Part Routes'!$I:$I,""),IF(D19="HE",COUNTIFS('Part Routes'!$B:$B,B19,'Part Routes'!$J:$J,""),COUNTIFS('Part Routes'!$B:$B,B19,'Part Routes'!$I:$I,"")+COUNTIFS('Part Routes'!$B:$B,B19,'Part Routes'!$J:$J,""))))</f>
        <v>0</v>
      </c>
      <c r="T19" s="26">
        <f t="shared" si="1"/>
        <v>0</v>
      </c>
    </row>
    <row r="20" spans="1:20" ht="41.4" x14ac:dyDescent="0.3">
      <c r="A20" s="36" t="s">
        <v>692</v>
      </c>
      <c r="B20" s="36" t="s">
        <v>715</v>
      </c>
      <c r="C20" s="24" t="s">
        <v>716</v>
      </c>
      <c r="D20" s="24" t="s">
        <v>90</v>
      </c>
      <c r="E20" s="24" t="s">
        <v>91</v>
      </c>
      <c r="F20" s="24" t="s">
        <v>101</v>
      </c>
      <c r="G20" s="24" t="s">
        <v>102</v>
      </c>
      <c r="H20" s="24" t="s">
        <v>712</v>
      </c>
      <c r="I20" s="24" t="s">
        <v>717</v>
      </c>
      <c r="J20" s="24" t="s">
        <v>103</v>
      </c>
      <c r="K20" s="24" t="s">
        <v>79</v>
      </c>
      <c r="L20" s="24" t="s">
        <v>104</v>
      </c>
      <c r="M20" s="24" t="s">
        <v>349</v>
      </c>
      <c r="N20" s="24"/>
      <c r="O20" s="24"/>
      <c r="P20" s="24" t="s">
        <v>82</v>
      </c>
      <c r="Q20" s="27" t="s">
        <v>718</v>
      </c>
      <c r="R20" s="26">
        <f>IF(B20="","",COUNTIF('Part Routes'!$B:$B,B20))</f>
        <v>0</v>
      </c>
      <c r="S20" s="26">
        <f>IF(B20="","",IF(D20="PV",COUNTIFS('Part Routes'!$B:$B,B20,'Part Routes'!$I:$I,""),IF(D20="HE",COUNTIFS('Part Routes'!$B:$B,B20,'Part Routes'!$J:$J,""),COUNTIFS('Part Routes'!$B:$B,B20,'Part Routes'!$I:$I,"")+COUNTIFS('Part Routes'!$B:$B,B20,'Part Routes'!$J:$J,""))))</f>
        <v>0</v>
      </c>
      <c r="T20" s="26">
        <f t="shared" si="1"/>
        <v>0</v>
      </c>
    </row>
    <row r="21" spans="1:20" ht="41.4" x14ac:dyDescent="0.3">
      <c r="A21" s="36" t="s">
        <v>692</v>
      </c>
      <c r="B21" s="36" t="s">
        <v>719</v>
      </c>
      <c r="C21" s="24" t="s">
        <v>720</v>
      </c>
      <c r="D21" s="24" t="s">
        <v>90</v>
      </c>
      <c r="E21" s="24" t="s">
        <v>370</v>
      </c>
      <c r="F21" s="24" t="s">
        <v>355</v>
      </c>
      <c r="G21" s="24" t="s">
        <v>77</v>
      </c>
      <c r="H21" s="24" t="s">
        <v>721</v>
      </c>
      <c r="I21" s="24" t="s">
        <v>722</v>
      </c>
      <c r="J21" s="24" t="s">
        <v>341</v>
      </c>
      <c r="K21" s="24" t="s">
        <v>79</v>
      </c>
      <c r="L21" s="24" t="s">
        <v>80</v>
      </c>
      <c r="M21" s="24" t="s">
        <v>349</v>
      </c>
      <c r="N21" s="24"/>
      <c r="O21" s="24"/>
      <c r="P21" s="24" t="s">
        <v>82</v>
      </c>
      <c r="Q21" s="27" t="s">
        <v>723</v>
      </c>
      <c r="R21" s="26">
        <f>IF(B21="","",COUNTIF('Part Routes'!$B:$B,B21))</f>
        <v>0</v>
      </c>
      <c r="S21" s="26">
        <f>IF(B21="","",IF(D21="PV",COUNTIFS('Part Routes'!$B:$B,B21,'Part Routes'!$I:$I,""),IF(D21="HE",COUNTIFS('Part Routes'!$B:$B,B21,'Part Routes'!$J:$J,""),COUNTIFS('Part Routes'!$B:$B,B21,'Part Routes'!$I:$I,"")+COUNTIFS('Part Routes'!$B:$B,B21,'Part Routes'!$J:$J,""))))</f>
        <v>0</v>
      </c>
      <c r="T21" s="26">
        <f t="shared" si="1"/>
        <v>0</v>
      </c>
    </row>
    <row r="22" spans="1:20" ht="41.4" x14ac:dyDescent="0.3">
      <c r="A22" s="36" t="s">
        <v>692</v>
      </c>
      <c r="B22" s="36" t="s">
        <v>724</v>
      </c>
      <c r="C22" s="24" t="s">
        <v>725</v>
      </c>
      <c r="D22" s="24" t="s">
        <v>90</v>
      </c>
      <c r="E22" s="24" t="s">
        <v>85</v>
      </c>
      <c r="F22" s="24" t="s">
        <v>355</v>
      </c>
      <c r="G22" s="24" t="s">
        <v>369</v>
      </c>
      <c r="H22" s="24" t="s">
        <v>726</v>
      </c>
      <c r="I22" s="24" t="s">
        <v>727</v>
      </c>
      <c r="J22" s="24" t="s">
        <v>371</v>
      </c>
      <c r="K22" s="24" t="s">
        <v>79</v>
      </c>
      <c r="L22" s="24" t="s">
        <v>80</v>
      </c>
      <c r="M22" s="24" t="s">
        <v>349</v>
      </c>
      <c r="N22" s="24"/>
      <c r="O22" s="24"/>
      <c r="P22" s="24" t="s">
        <v>82</v>
      </c>
      <c r="Q22" s="27" t="s">
        <v>728</v>
      </c>
      <c r="R22" s="26">
        <f>IF(B22="","",COUNTIF('Part Routes'!$B:$B,B22))</f>
        <v>0</v>
      </c>
      <c r="S22" s="26">
        <f>IF(B22="","",IF(D22="PV",COUNTIFS('Part Routes'!$B:$B,B22,'Part Routes'!$I:$I,""),IF(D22="HE",COUNTIFS('Part Routes'!$B:$B,B22,'Part Routes'!$J:$J,""),COUNTIFS('Part Routes'!$B:$B,B22,'Part Routes'!$I:$I,"")+COUNTIFS('Part Routes'!$B:$B,B22,'Part Routes'!$J:$J,""))))</f>
        <v>0</v>
      </c>
      <c r="T22" s="26">
        <f t="shared" si="1"/>
        <v>0</v>
      </c>
    </row>
    <row r="23" spans="1:20" ht="41.4" x14ac:dyDescent="0.3">
      <c r="A23" s="36" t="s">
        <v>692</v>
      </c>
      <c r="B23" s="36" t="s">
        <v>729</v>
      </c>
      <c r="C23" s="24" t="s">
        <v>730</v>
      </c>
      <c r="D23" s="24" t="s">
        <v>90</v>
      </c>
      <c r="E23" s="24" t="s">
        <v>85</v>
      </c>
      <c r="F23" s="24" t="s">
        <v>355</v>
      </c>
      <c r="G23" s="24" t="s">
        <v>369</v>
      </c>
      <c r="H23" s="24" t="s">
        <v>731</v>
      </c>
      <c r="I23" s="24" t="s">
        <v>732</v>
      </c>
      <c r="J23" s="24" t="s">
        <v>371</v>
      </c>
      <c r="K23" s="24" t="s">
        <v>79</v>
      </c>
      <c r="L23" s="24" t="s">
        <v>80</v>
      </c>
      <c r="M23" s="24" t="s">
        <v>349</v>
      </c>
      <c r="N23" s="24"/>
      <c r="O23" s="24"/>
      <c r="P23" s="24" t="s">
        <v>82</v>
      </c>
      <c r="Q23" s="27" t="s">
        <v>733</v>
      </c>
      <c r="R23" s="26">
        <f>IF(B23="","",COUNTIF('Part Routes'!$B:$B,B23))</f>
        <v>0</v>
      </c>
      <c r="S23" s="26">
        <f>IF(B23="","",IF(D23="PV",COUNTIFS('Part Routes'!$B:$B,B23,'Part Routes'!$I:$I,""),IF(D23="HE",COUNTIFS('Part Routes'!$B:$B,B23,'Part Routes'!$J:$J,""),COUNTIFS('Part Routes'!$B:$B,B23,'Part Routes'!$I:$I,"")+COUNTIFS('Part Routes'!$B:$B,B23,'Part Routes'!$J:$J,""))))</f>
        <v>0</v>
      </c>
      <c r="T23" s="26">
        <f t="shared" si="1"/>
        <v>0</v>
      </c>
    </row>
    <row r="24" spans="1:20" ht="41.4" x14ac:dyDescent="0.3">
      <c r="A24" s="36" t="s">
        <v>692</v>
      </c>
      <c r="B24" s="36" t="s">
        <v>734</v>
      </c>
      <c r="C24" s="24" t="s">
        <v>735</v>
      </c>
      <c r="D24" s="24" t="s">
        <v>90</v>
      </c>
      <c r="E24" s="24" t="s">
        <v>85</v>
      </c>
      <c r="F24" s="24" t="s">
        <v>101</v>
      </c>
      <c r="G24" s="24" t="s">
        <v>102</v>
      </c>
      <c r="H24" s="24" t="s">
        <v>736</v>
      </c>
      <c r="I24" s="24" t="s">
        <v>737</v>
      </c>
      <c r="J24" s="24" t="s">
        <v>103</v>
      </c>
      <c r="K24" s="24" t="s">
        <v>79</v>
      </c>
      <c r="L24" s="24" t="s">
        <v>104</v>
      </c>
      <c r="M24" s="24" t="s">
        <v>349</v>
      </c>
      <c r="N24" s="24"/>
      <c r="O24" s="24"/>
      <c r="P24" s="24" t="s">
        <v>82</v>
      </c>
      <c r="Q24" s="27" t="s">
        <v>738</v>
      </c>
      <c r="R24" s="26">
        <f>IF(B24="","",COUNTIF('Part Routes'!$B:$B,B24))</f>
        <v>0</v>
      </c>
      <c r="S24" s="26">
        <f>IF(B24="","",IF(D24="PV",COUNTIFS('Part Routes'!$B:$B,B24,'Part Routes'!$I:$I,""),IF(D24="HE",COUNTIFS('Part Routes'!$B:$B,B24,'Part Routes'!$J:$J,""),COUNTIFS('Part Routes'!$B:$B,B24,'Part Routes'!$I:$I,"")+COUNTIFS('Part Routes'!$B:$B,B24,'Part Routes'!$J:$J,""))))</f>
        <v>0</v>
      </c>
      <c r="T24" s="26">
        <f t="shared" si="1"/>
        <v>0</v>
      </c>
    </row>
    <row r="25" spans="1:20" ht="41.4" x14ac:dyDescent="0.3">
      <c r="A25" s="36" t="s">
        <v>692</v>
      </c>
      <c r="B25" s="36" t="s">
        <v>739</v>
      </c>
      <c r="C25" s="24" t="s">
        <v>740</v>
      </c>
      <c r="D25" s="24" t="s">
        <v>90</v>
      </c>
      <c r="E25" s="24" t="s">
        <v>368</v>
      </c>
      <c r="F25" s="24" t="s">
        <v>76</v>
      </c>
      <c r="G25" s="24" t="s">
        <v>369</v>
      </c>
      <c r="H25" s="24" t="s">
        <v>672</v>
      </c>
      <c r="I25" s="24" t="s">
        <v>741</v>
      </c>
      <c r="J25" s="24" t="s">
        <v>371</v>
      </c>
      <c r="K25" s="24" t="s">
        <v>79</v>
      </c>
      <c r="L25" s="24" t="s">
        <v>80</v>
      </c>
      <c r="M25" s="24" t="s">
        <v>349</v>
      </c>
      <c r="N25" s="24"/>
      <c r="O25" s="24"/>
      <c r="P25" s="24" t="s">
        <v>82</v>
      </c>
      <c r="Q25" s="27" t="s">
        <v>742</v>
      </c>
      <c r="R25" s="26">
        <f>IF(B25="","",COUNTIF('Part Routes'!$B:$B,B25))</f>
        <v>0</v>
      </c>
      <c r="S25" s="26">
        <f>IF(B25="","",IF(D25="PV",COUNTIFS('Part Routes'!$B:$B,B25,'Part Routes'!$I:$I,""),IF(D25="HE",COUNTIFS('Part Routes'!$B:$B,B25,'Part Routes'!$J:$J,""),COUNTIFS('Part Routes'!$B:$B,B25,'Part Routes'!$I:$I,"")+COUNTIFS('Part Routes'!$B:$B,B25,'Part Routes'!$J:$J,""))))</f>
        <v>0</v>
      </c>
      <c r="T25" s="26">
        <f t="shared" si="1"/>
        <v>0</v>
      </c>
    </row>
    <row r="26" spans="1:20" ht="41.4" x14ac:dyDescent="0.3">
      <c r="A26" s="36" t="s">
        <v>692</v>
      </c>
      <c r="B26" s="36" t="s">
        <v>743</v>
      </c>
      <c r="C26" s="24" t="s">
        <v>744</v>
      </c>
      <c r="D26" s="24" t="s">
        <v>90</v>
      </c>
      <c r="E26" s="24" t="s">
        <v>368</v>
      </c>
      <c r="F26" s="24" t="s">
        <v>76</v>
      </c>
      <c r="G26" s="24" t="s">
        <v>86</v>
      </c>
      <c r="H26" s="24" t="s">
        <v>676</v>
      </c>
      <c r="I26" s="24" t="s">
        <v>745</v>
      </c>
      <c r="J26" s="24" t="s">
        <v>87</v>
      </c>
      <c r="K26" s="24" t="s">
        <v>79</v>
      </c>
      <c r="L26" s="24" t="s">
        <v>80</v>
      </c>
      <c r="M26" s="24" t="s">
        <v>349</v>
      </c>
      <c r="N26" s="24"/>
      <c r="O26" s="24"/>
      <c r="P26" s="24" t="s">
        <v>82</v>
      </c>
      <c r="Q26" s="27" t="s">
        <v>746</v>
      </c>
      <c r="R26" s="26">
        <f>IF(B26="","",COUNTIF('Part Routes'!$B:$B,B26))</f>
        <v>0</v>
      </c>
      <c r="S26" s="26">
        <f>IF(B26="","",IF(D26="PV",COUNTIFS('Part Routes'!$B:$B,B26,'Part Routes'!$I:$I,""),IF(D26="HE",COUNTIFS('Part Routes'!$B:$B,B26,'Part Routes'!$J:$J,""),COUNTIFS('Part Routes'!$B:$B,B26,'Part Routes'!$I:$I,"")+COUNTIFS('Part Routes'!$B:$B,B26,'Part Routes'!$J:$J,""))))</f>
        <v>0</v>
      </c>
      <c r="T26" s="26">
        <f t="shared" si="1"/>
        <v>0</v>
      </c>
    </row>
    <row r="27" spans="1:20" ht="41.4" x14ac:dyDescent="0.3">
      <c r="A27" s="36" t="s">
        <v>692</v>
      </c>
      <c r="B27" s="36" t="s">
        <v>747</v>
      </c>
      <c r="C27" s="24" t="s">
        <v>748</v>
      </c>
      <c r="D27" s="24" t="s">
        <v>90</v>
      </c>
      <c r="E27" s="24" t="s">
        <v>368</v>
      </c>
      <c r="F27" s="24" t="s">
        <v>355</v>
      </c>
      <c r="G27" s="24" t="s">
        <v>369</v>
      </c>
      <c r="H27" s="24" t="s">
        <v>749</v>
      </c>
      <c r="I27" s="24" t="s">
        <v>750</v>
      </c>
      <c r="J27" s="24" t="s">
        <v>371</v>
      </c>
      <c r="K27" s="24" t="s">
        <v>79</v>
      </c>
      <c r="L27" s="24" t="s">
        <v>80</v>
      </c>
      <c r="M27" s="24" t="s">
        <v>349</v>
      </c>
      <c r="N27" s="24"/>
      <c r="O27" s="24"/>
      <c r="P27" s="24" t="s">
        <v>82</v>
      </c>
      <c r="Q27" s="27" t="s">
        <v>751</v>
      </c>
      <c r="R27" s="26">
        <f>IF(B27="","",COUNTIF('Part Routes'!$B:$B,B27))</f>
        <v>0</v>
      </c>
      <c r="S27" s="26">
        <f>IF(B27="","",IF(D27="PV",COUNTIFS('Part Routes'!$B:$B,B27,'Part Routes'!$I:$I,""),IF(D27="HE",COUNTIFS('Part Routes'!$B:$B,B27,'Part Routes'!$J:$J,""),COUNTIFS('Part Routes'!$B:$B,B27,'Part Routes'!$I:$I,"")+COUNTIFS('Part Routes'!$B:$B,B27,'Part Routes'!$J:$J,""))))</f>
        <v>0</v>
      </c>
      <c r="T27" s="26">
        <f t="shared" si="1"/>
        <v>0</v>
      </c>
    </row>
    <row r="28" spans="1:20" ht="41.4" x14ac:dyDescent="0.3">
      <c r="A28" s="36" t="s">
        <v>692</v>
      </c>
      <c r="B28" s="36" t="s">
        <v>752</v>
      </c>
      <c r="C28" s="24" t="s">
        <v>753</v>
      </c>
      <c r="D28" s="24" t="s">
        <v>90</v>
      </c>
      <c r="E28" s="24" t="s">
        <v>368</v>
      </c>
      <c r="F28" s="24" t="s">
        <v>76</v>
      </c>
      <c r="G28" s="24" t="s">
        <v>369</v>
      </c>
      <c r="H28" s="24" t="s">
        <v>754</v>
      </c>
      <c r="I28" s="24" t="s">
        <v>755</v>
      </c>
      <c r="J28" s="24" t="s">
        <v>371</v>
      </c>
      <c r="K28" s="24" t="s">
        <v>79</v>
      </c>
      <c r="L28" s="24" t="s">
        <v>80</v>
      </c>
      <c r="M28" s="24" t="s">
        <v>349</v>
      </c>
      <c r="N28" s="24"/>
      <c r="O28" s="24"/>
      <c r="P28" s="24" t="s">
        <v>82</v>
      </c>
      <c r="Q28" s="27" t="s">
        <v>756</v>
      </c>
      <c r="R28" s="26">
        <f>IF(B28="","",COUNTIF('Part Routes'!$B:$B,B28))</f>
        <v>0</v>
      </c>
      <c r="S28" s="26">
        <f>IF(B28="","",IF(D28="PV",COUNTIFS('Part Routes'!$B:$B,B28,'Part Routes'!$I:$I,""),IF(D28="HE",COUNTIFS('Part Routes'!$B:$B,B28,'Part Routes'!$J:$J,""),COUNTIFS('Part Routes'!$B:$B,B28,'Part Routes'!$I:$I,"")+COUNTIFS('Part Routes'!$B:$B,B28,'Part Routes'!$J:$J,""))))</f>
        <v>0</v>
      </c>
      <c r="T28" s="26">
        <f t="shared" si="1"/>
        <v>0</v>
      </c>
    </row>
    <row r="29" spans="1:20" ht="41.4" x14ac:dyDescent="0.3">
      <c r="A29" s="36" t="s">
        <v>692</v>
      </c>
      <c r="B29" s="36" t="s">
        <v>757</v>
      </c>
      <c r="C29" s="24" t="s">
        <v>758</v>
      </c>
      <c r="D29" s="24" t="s">
        <v>90</v>
      </c>
      <c r="E29" s="24" t="s">
        <v>368</v>
      </c>
      <c r="F29" s="24" t="s">
        <v>76</v>
      </c>
      <c r="G29" s="24" t="s">
        <v>369</v>
      </c>
      <c r="H29" s="24" t="s">
        <v>759</v>
      </c>
      <c r="I29" s="24" t="s">
        <v>760</v>
      </c>
      <c r="J29" s="24" t="s">
        <v>371</v>
      </c>
      <c r="K29" s="24" t="s">
        <v>79</v>
      </c>
      <c r="L29" s="24" t="s">
        <v>80</v>
      </c>
      <c r="M29" s="24" t="s">
        <v>349</v>
      </c>
      <c r="N29" s="24"/>
      <c r="O29" s="24"/>
      <c r="P29" s="24" t="s">
        <v>82</v>
      </c>
      <c r="Q29" s="27" t="s">
        <v>761</v>
      </c>
      <c r="R29" s="26">
        <f>IF(B29="","",COUNTIF('Part Routes'!$B:$B,B29))</f>
        <v>0</v>
      </c>
      <c r="S29" s="26">
        <f>IF(B29="","",IF(D29="PV",COUNTIFS('Part Routes'!$B:$B,B29,'Part Routes'!$I:$I,""),IF(D29="HE",COUNTIFS('Part Routes'!$B:$B,B29,'Part Routes'!$J:$J,""),COUNTIFS('Part Routes'!$B:$B,B29,'Part Routes'!$I:$I,"")+COUNTIFS('Part Routes'!$B:$B,B29,'Part Routes'!$J:$J,""))))</f>
        <v>0</v>
      </c>
      <c r="T29" s="26">
        <f t="shared" si="1"/>
        <v>0</v>
      </c>
    </row>
    <row r="30" spans="1:20" ht="41.4" x14ac:dyDescent="0.3">
      <c r="A30" s="36" t="s">
        <v>692</v>
      </c>
      <c r="B30" s="36" t="s">
        <v>762</v>
      </c>
      <c r="C30" s="24" t="s">
        <v>763</v>
      </c>
      <c r="D30" s="24" t="s">
        <v>90</v>
      </c>
      <c r="E30" s="24" t="s">
        <v>370</v>
      </c>
      <c r="F30" s="24" t="s">
        <v>76</v>
      </c>
      <c r="G30" s="24" t="s">
        <v>77</v>
      </c>
      <c r="H30" s="24" t="s">
        <v>764</v>
      </c>
      <c r="I30" s="24" t="s">
        <v>765</v>
      </c>
      <c r="J30" s="24" t="s">
        <v>341</v>
      </c>
      <c r="K30" s="24" t="s">
        <v>79</v>
      </c>
      <c r="L30" s="24" t="s">
        <v>80</v>
      </c>
      <c r="M30" s="24" t="s">
        <v>349</v>
      </c>
      <c r="N30" s="24"/>
      <c r="O30" s="24"/>
      <c r="P30" s="24" t="s">
        <v>82</v>
      </c>
      <c r="Q30" s="27" t="s">
        <v>766</v>
      </c>
      <c r="R30" s="26">
        <f>IF(B30="","",COUNTIF('Part Routes'!$B:$B,B30))</f>
        <v>0</v>
      </c>
      <c r="S30" s="26">
        <f>IF(B30="","",IF(D30="PV",COUNTIFS('Part Routes'!$B:$B,B30,'Part Routes'!$I:$I,""),IF(D30="HE",COUNTIFS('Part Routes'!$B:$B,B30,'Part Routes'!$J:$J,""),COUNTIFS('Part Routes'!$B:$B,B30,'Part Routes'!$I:$I,"")+COUNTIFS('Part Routes'!$B:$B,B30,'Part Routes'!$J:$J,""))))</f>
        <v>0</v>
      </c>
      <c r="T30" s="26">
        <f t="shared" si="1"/>
        <v>0</v>
      </c>
    </row>
    <row r="31" spans="1:20" ht="41.4" x14ac:dyDescent="0.3">
      <c r="A31" s="36" t="s">
        <v>692</v>
      </c>
      <c r="B31" s="36" t="s">
        <v>767</v>
      </c>
      <c r="C31" s="24" t="s">
        <v>768</v>
      </c>
      <c r="D31" s="24" t="s">
        <v>90</v>
      </c>
      <c r="E31" s="24" t="s">
        <v>370</v>
      </c>
      <c r="F31" s="24" t="s">
        <v>76</v>
      </c>
      <c r="G31" s="24" t="s">
        <v>77</v>
      </c>
      <c r="H31" s="24" t="s">
        <v>672</v>
      </c>
      <c r="I31" s="24" t="s">
        <v>769</v>
      </c>
      <c r="J31" s="24" t="s">
        <v>341</v>
      </c>
      <c r="K31" s="24" t="s">
        <v>79</v>
      </c>
      <c r="L31" s="24" t="s">
        <v>80</v>
      </c>
      <c r="M31" s="24" t="s">
        <v>349</v>
      </c>
      <c r="N31" s="24"/>
      <c r="O31" s="24"/>
      <c r="P31" s="24" t="s">
        <v>82</v>
      </c>
      <c r="Q31" s="27" t="s">
        <v>770</v>
      </c>
      <c r="R31" s="26">
        <f>IF(B31="","",COUNTIF('Part Routes'!$B:$B,B31))</f>
        <v>0</v>
      </c>
      <c r="S31" s="26">
        <f>IF(B31="","",IF(D31="PV",COUNTIFS('Part Routes'!$B:$B,B31,'Part Routes'!$I:$I,""),IF(D31="HE",COUNTIFS('Part Routes'!$B:$B,B31,'Part Routes'!$J:$J,""),COUNTIFS('Part Routes'!$B:$B,B31,'Part Routes'!$I:$I,"")+COUNTIFS('Part Routes'!$B:$B,B31,'Part Routes'!$J:$J,""))))</f>
        <v>0</v>
      </c>
      <c r="T31" s="26">
        <f t="shared" si="1"/>
        <v>0</v>
      </c>
    </row>
    <row r="32" spans="1:20" ht="41.4" x14ac:dyDescent="0.3">
      <c r="A32" s="36" t="s">
        <v>692</v>
      </c>
      <c r="B32" s="36" t="s">
        <v>771</v>
      </c>
      <c r="C32" s="24" t="s">
        <v>772</v>
      </c>
      <c r="D32" s="24" t="s">
        <v>90</v>
      </c>
      <c r="E32" s="24" t="s">
        <v>368</v>
      </c>
      <c r="F32" s="24" t="s">
        <v>76</v>
      </c>
      <c r="G32" s="24" t="s">
        <v>77</v>
      </c>
      <c r="H32" s="24" t="s">
        <v>672</v>
      </c>
      <c r="I32" s="24" t="s">
        <v>773</v>
      </c>
      <c r="J32" s="24" t="s">
        <v>341</v>
      </c>
      <c r="K32" s="24" t="s">
        <v>79</v>
      </c>
      <c r="L32" s="24" t="s">
        <v>80</v>
      </c>
      <c r="M32" s="24" t="s">
        <v>349</v>
      </c>
      <c r="N32" s="24"/>
      <c r="O32" s="24"/>
      <c r="P32" s="24" t="s">
        <v>82</v>
      </c>
      <c r="Q32" s="27" t="s">
        <v>774</v>
      </c>
      <c r="R32" s="26">
        <f>IF(B32="","",COUNTIF('Part Routes'!$B:$B,B32))</f>
        <v>0</v>
      </c>
      <c r="S32" s="26">
        <f>IF(B32="","",IF(D32="PV",COUNTIFS('Part Routes'!$B:$B,B32,'Part Routes'!$I:$I,""),IF(D32="HE",COUNTIFS('Part Routes'!$B:$B,B32,'Part Routes'!$J:$J,""),COUNTIFS('Part Routes'!$B:$B,B32,'Part Routes'!$I:$I,"")+COUNTIFS('Part Routes'!$B:$B,B32,'Part Routes'!$J:$J,""))))</f>
        <v>0</v>
      </c>
      <c r="T32" s="26">
        <f t="shared" si="1"/>
        <v>0</v>
      </c>
    </row>
    <row r="33" spans="1:20" ht="41.4" x14ac:dyDescent="0.3">
      <c r="A33" s="36" t="s">
        <v>692</v>
      </c>
      <c r="B33" s="36" t="s">
        <v>775</v>
      </c>
      <c r="C33" s="24" t="s">
        <v>776</v>
      </c>
      <c r="D33" s="24" t="s">
        <v>90</v>
      </c>
      <c r="E33" s="24" t="s">
        <v>368</v>
      </c>
      <c r="F33" s="24" t="s">
        <v>76</v>
      </c>
      <c r="G33" s="24" t="s">
        <v>77</v>
      </c>
      <c r="H33" s="24" t="s">
        <v>672</v>
      </c>
      <c r="I33" s="24" t="s">
        <v>777</v>
      </c>
      <c r="J33" s="24" t="s">
        <v>341</v>
      </c>
      <c r="K33" s="24" t="s">
        <v>79</v>
      </c>
      <c r="L33" s="24" t="s">
        <v>80</v>
      </c>
      <c r="M33" s="24" t="s">
        <v>349</v>
      </c>
      <c r="N33" s="24"/>
      <c r="O33" s="24"/>
      <c r="P33" s="24" t="s">
        <v>82</v>
      </c>
      <c r="Q33" s="27" t="s">
        <v>778</v>
      </c>
      <c r="R33" s="26">
        <f>IF(B33="","",COUNTIF('Part Routes'!$B:$B,B33))</f>
        <v>0</v>
      </c>
      <c r="S33" s="26">
        <f>IF(B33="","",IF(D33="PV",COUNTIFS('Part Routes'!$B:$B,B33,'Part Routes'!$I:$I,""),IF(D33="HE",COUNTIFS('Part Routes'!$B:$B,B33,'Part Routes'!$J:$J,""),COUNTIFS('Part Routes'!$B:$B,B33,'Part Routes'!$I:$I,"")+COUNTIFS('Part Routes'!$B:$B,B33,'Part Routes'!$J:$J,""))))</f>
        <v>0</v>
      </c>
      <c r="T33" s="26">
        <f t="shared" si="1"/>
        <v>0</v>
      </c>
    </row>
    <row r="34" spans="1:20" ht="41.4" x14ac:dyDescent="0.3">
      <c r="A34" s="37" t="s">
        <v>692</v>
      </c>
      <c r="B34" s="37" t="s">
        <v>779</v>
      </c>
      <c r="C34" s="25" t="s">
        <v>780</v>
      </c>
      <c r="D34" s="25" t="s">
        <v>90</v>
      </c>
      <c r="E34" s="25" t="s">
        <v>368</v>
      </c>
      <c r="F34" s="25" t="s">
        <v>76</v>
      </c>
      <c r="G34" s="25" t="s">
        <v>77</v>
      </c>
      <c r="H34" s="25" t="s">
        <v>672</v>
      </c>
      <c r="I34" s="25" t="s">
        <v>777</v>
      </c>
      <c r="J34" s="25" t="s">
        <v>341</v>
      </c>
      <c r="K34" s="25" t="s">
        <v>79</v>
      </c>
      <c r="L34" s="25" t="s">
        <v>80</v>
      </c>
      <c r="M34" s="25" t="s">
        <v>349</v>
      </c>
      <c r="N34" s="25"/>
      <c r="O34" s="25"/>
      <c r="P34" s="25" t="s">
        <v>82</v>
      </c>
      <c r="Q34" s="28" t="s">
        <v>781</v>
      </c>
      <c r="R34" s="29">
        <f>IF(B34="","",COUNTIF('Part Routes'!$B:$B,B34))</f>
        <v>0</v>
      </c>
      <c r="S34" s="29">
        <f>IF(B34="","",IF(D34="PV",COUNTIFS('Part Routes'!$B:$B,B34,'Part Routes'!$I:$I,""),IF(D34="HE",COUNTIFS('Part Routes'!$B:$B,B34,'Part Routes'!$J:$J,""),COUNTIFS('Part Routes'!$B:$B,B34,'Part Routes'!$I:$I,"")+COUNTIFS('Part Routes'!$B:$B,B34,'Part Routes'!$J:$J,""))))</f>
        <v>0</v>
      </c>
      <c r="T34" s="29">
        <f t="shared" si="1"/>
        <v>0</v>
      </c>
    </row>
    <row r="35" spans="1:20" ht="27.6" x14ac:dyDescent="0.3">
      <c r="A35" s="92" t="s">
        <v>1619</v>
      </c>
      <c r="B35" s="91" t="s">
        <v>1480</v>
      </c>
      <c r="C35" s="91" t="s">
        <v>1478</v>
      </c>
      <c r="D35" s="91" t="s">
        <v>340</v>
      </c>
      <c r="E35" s="91" t="s">
        <v>370</v>
      </c>
      <c r="F35" s="91" t="s">
        <v>76</v>
      </c>
      <c r="G35" s="91" t="s">
        <v>77</v>
      </c>
      <c r="H35" s="91" t="s">
        <v>1473</v>
      </c>
      <c r="I35" s="91" t="s">
        <v>1620</v>
      </c>
      <c r="J35" s="91" t="s">
        <v>78</v>
      </c>
      <c r="K35" s="91" t="s">
        <v>79</v>
      </c>
      <c r="L35" s="91" t="s">
        <v>80</v>
      </c>
      <c r="M35" s="129" t="s">
        <v>97</v>
      </c>
      <c r="N35" s="129" t="s">
        <v>1208</v>
      </c>
      <c r="O35" s="129" t="s">
        <v>1209</v>
      </c>
      <c r="P35" s="129" t="s">
        <v>82</v>
      </c>
      <c r="Q35" s="91" t="s">
        <v>1621</v>
      </c>
      <c r="R35" s="130">
        <f>COUNTIF('Part Routes'!$B:$B,B35)</f>
        <v>9</v>
      </c>
      <c r="S35" s="130">
        <f>COUNTIFS('Part Routes'!$B:$B,B35,'Part Routes'!$I:$I,"")</f>
        <v>0</v>
      </c>
      <c r="T35" s="130">
        <f>COUNTIFS('Part Routes'!$B:$B,B35,'Part Routes'!$R:$R,"*PROPOSED*")</f>
        <v>9</v>
      </c>
    </row>
    <row r="36" spans="1:20" ht="27.6" x14ac:dyDescent="0.3">
      <c r="A36" s="70" t="s">
        <v>1619</v>
      </c>
      <c r="B36" s="68" t="s">
        <v>1485</v>
      </c>
      <c r="C36" s="68" t="s">
        <v>1482</v>
      </c>
      <c r="D36" s="68" t="s">
        <v>340</v>
      </c>
      <c r="E36" s="68" t="s">
        <v>370</v>
      </c>
      <c r="F36" s="68" t="s">
        <v>76</v>
      </c>
      <c r="G36" s="68" t="s">
        <v>77</v>
      </c>
      <c r="H36" s="68" t="s">
        <v>1483</v>
      </c>
      <c r="I36" s="68" t="s">
        <v>1622</v>
      </c>
      <c r="J36" s="68" t="s">
        <v>356</v>
      </c>
      <c r="K36" s="68" t="s">
        <v>79</v>
      </c>
      <c r="L36" s="68" t="s">
        <v>80</v>
      </c>
      <c r="M36" s="71" t="s">
        <v>97</v>
      </c>
      <c r="N36" s="71" t="s">
        <v>1208</v>
      </c>
      <c r="O36" s="71" t="s">
        <v>1209</v>
      </c>
      <c r="P36" s="71" t="s">
        <v>82</v>
      </c>
      <c r="Q36" s="68" t="s">
        <v>1623</v>
      </c>
      <c r="R36" s="131">
        <f>COUNTIF('Part Routes'!$B:$B,B36)</f>
        <v>6</v>
      </c>
      <c r="S36" s="131">
        <f>COUNTIFS('Part Routes'!$B:$B,B36,'Part Routes'!$I:$I,"")</f>
        <v>0</v>
      </c>
      <c r="T36" s="131">
        <f>COUNTIFS('Part Routes'!$B:$B,B36,'Part Routes'!$R:$R,"*PROPOSED*")</f>
        <v>6</v>
      </c>
    </row>
    <row r="37" spans="1:20" ht="27.6" x14ac:dyDescent="0.3">
      <c r="A37" s="70" t="s">
        <v>1619</v>
      </c>
      <c r="B37" s="68" t="s">
        <v>1487</v>
      </c>
      <c r="C37" s="68" t="s">
        <v>1624</v>
      </c>
      <c r="D37" s="68" t="s">
        <v>340</v>
      </c>
      <c r="E37" s="68" t="s">
        <v>370</v>
      </c>
      <c r="F37" s="68" t="s">
        <v>76</v>
      </c>
      <c r="G37" s="68" t="s">
        <v>77</v>
      </c>
      <c r="H37" s="68" t="s">
        <v>1483</v>
      </c>
      <c r="I37" s="68" t="s">
        <v>1625</v>
      </c>
      <c r="J37" s="68" t="s">
        <v>341</v>
      </c>
      <c r="K37" s="68" t="s">
        <v>79</v>
      </c>
      <c r="L37" s="68" t="s">
        <v>80</v>
      </c>
      <c r="M37" s="71" t="s">
        <v>97</v>
      </c>
      <c r="N37" s="71" t="s">
        <v>1208</v>
      </c>
      <c r="O37" s="71" t="s">
        <v>1209</v>
      </c>
      <c r="P37" s="71" t="s">
        <v>82</v>
      </c>
      <c r="Q37" s="68" t="s">
        <v>1626</v>
      </c>
      <c r="R37" s="131">
        <f>COUNTIF('Part Routes'!$B:$B,B37)</f>
        <v>6</v>
      </c>
      <c r="S37" s="131">
        <f>COUNTIFS('Part Routes'!$B:$B,B37,'Part Routes'!$I:$I,"")</f>
        <v>0</v>
      </c>
      <c r="T37" s="131">
        <f>COUNTIFS('Part Routes'!$B:$B,B37,'Part Routes'!$R:$R,"*PROPOSED*")</f>
        <v>6</v>
      </c>
    </row>
    <row r="38" spans="1:20" ht="27.6" x14ac:dyDescent="0.3">
      <c r="A38" s="70" t="s">
        <v>1619</v>
      </c>
      <c r="B38" s="68" t="s">
        <v>1490</v>
      </c>
      <c r="C38" s="68" t="s">
        <v>1488</v>
      </c>
      <c r="D38" s="68" t="s">
        <v>340</v>
      </c>
      <c r="E38" s="68" t="s">
        <v>370</v>
      </c>
      <c r="F38" s="68" t="s">
        <v>76</v>
      </c>
      <c r="G38" s="68" t="s">
        <v>77</v>
      </c>
      <c r="H38" s="68" t="s">
        <v>324</v>
      </c>
      <c r="I38" s="68" t="s">
        <v>1627</v>
      </c>
      <c r="J38" s="68" t="s">
        <v>341</v>
      </c>
      <c r="K38" s="68" t="s">
        <v>79</v>
      </c>
      <c r="L38" s="68" t="s">
        <v>80</v>
      </c>
      <c r="M38" s="71" t="s">
        <v>97</v>
      </c>
      <c r="N38" s="71" t="s">
        <v>1208</v>
      </c>
      <c r="O38" s="71" t="s">
        <v>1209</v>
      </c>
      <c r="P38" s="71" t="s">
        <v>82</v>
      </c>
      <c r="Q38" s="68" t="s">
        <v>1628</v>
      </c>
      <c r="R38" s="131">
        <f>COUNTIF('Part Routes'!$B:$B,B38)</f>
        <v>6</v>
      </c>
      <c r="S38" s="131">
        <f>COUNTIFS('Part Routes'!$B:$B,B38,'Part Routes'!$I:$I,"")</f>
        <v>0</v>
      </c>
      <c r="T38" s="131">
        <f>COUNTIFS('Part Routes'!$B:$B,B38,'Part Routes'!$R:$R,"*PROPOSED*")</f>
        <v>6</v>
      </c>
    </row>
    <row r="39" spans="1:20" ht="27.6" x14ac:dyDescent="0.3">
      <c r="A39" s="70" t="s">
        <v>1619</v>
      </c>
      <c r="B39" s="68" t="s">
        <v>1496</v>
      </c>
      <c r="C39" s="68" t="s">
        <v>1629</v>
      </c>
      <c r="D39" s="68" t="s">
        <v>340</v>
      </c>
      <c r="E39" s="68" t="s">
        <v>85</v>
      </c>
      <c r="F39" s="68" t="s">
        <v>76</v>
      </c>
      <c r="G39" s="68" t="s">
        <v>77</v>
      </c>
      <c r="H39" s="68" t="s">
        <v>1473</v>
      </c>
      <c r="I39" s="68" t="s">
        <v>1630</v>
      </c>
      <c r="J39" s="68" t="s">
        <v>356</v>
      </c>
      <c r="K39" s="68" t="s">
        <v>79</v>
      </c>
      <c r="L39" s="68" t="s">
        <v>80</v>
      </c>
      <c r="M39" s="71" t="s">
        <v>97</v>
      </c>
      <c r="N39" s="71" t="s">
        <v>1208</v>
      </c>
      <c r="O39" s="71" t="s">
        <v>1209</v>
      </c>
      <c r="P39" s="71" t="s">
        <v>82</v>
      </c>
      <c r="Q39" s="68" t="s">
        <v>1631</v>
      </c>
      <c r="R39" s="131">
        <f>COUNTIF('Part Routes'!$B:$B,B39)</f>
        <v>6</v>
      </c>
      <c r="S39" s="131">
        <f>COUNTIFS('Part Routes'!$B:$B,B39,'Part Routes'!$I:$I,"")</f>
        <v>0</v>
      </c>
      <c r="T39" s="131">
        <f>COUNTIFS('Part Routes'!$B:$B,B39,'Part Routes'!$R:$R,"*PROPOSED*")</f>
        <v>6</v>
      </c>
    </row>
    <row r="40" spans="1:20" ht="27.6" x14ac:dyDescent="0.3">
      <c r="A40" s="70" t="s">
        <v>1619</v>
      </c>
      <c r="B40" s="68" t="s">
        <v>1507</v>
      </c>
      <c r="C40" s="68" t="s">
        <v>1632</v>
      </c>
      <c r="D40" s="68" t="s">
        <v>340</v>
      </c>
      <c r="E40" s="68" t="s">
        <v>85</v>
      </c>
      <c r="F40" s="68" t="s">
        <v>101</v>
      </c>
      <c r="G40" s="68" t="s">
        <v>1633</v>
      </c>
      <c r="H40" s="68" t="s">
        <v>1505</v>
      </c>
      <c r="I40" s="68" t="s">
        <v>1634</v>
      </c>
      <c r="J40" s="68" t="s">
        <v>103</v>
      </c>
      <c r="K40" s="68" t="s">
        <v>79</v>
      </c>
      <c r="L40" s="68" t="s">
        <v>80</v>
      </c>
      <c r="M40" s="71" t="s">
        <v>97</v>
      </c>
      <c r="N40" s="71" t="s">
        <v>1208</v>
      </c>
      <c r="O40" s="71" t="s">
        <v>1209</v>
      </c>
      <c r="P40" s="71" t="s">
        <v>82</v>
      </c>
      <c r="Q40" s="68" t="s">
        <v>1635</v>
      </c>
      <c r="R40" s="131">
        <f>COUNTIF('Part Routes'!$B:$B,B40)</f>
        <v>3</v>
      </c>
      <c r="S40" s="131">
        <f>COUNTIFS('Part Routes'!$B:$B,B40,'Part Routes'!$I:$I,"")</f>
        <v>0</v>
      </c>
      <c r="T40" s="131">
        <f>COUNTIFS('Part Routes'!$B:$B,B40,'Part Routes'!$R:$R,"*PROPOSED*")</f>
        <v>3</v>
      </c>
    </row>
    <row r="41" spans="1:20" ht="27.6" x14ac:dyDescent="0.3">
      <c r="A41" s="70" t="s">
        <v>1619</v>
      </c>
      <c r="B41" s="68" t="s">
        <v>1511</v>
      </c>
      <c r="C41" s="68" t="s">
        <v>1636</v>
      </c>
      <c r="D41" s="68" t="s">
        <v>340</v>
      </c>
      <c r="E41" s="68" t="s">
        <v>85</v>
      </c>
      <c r="F41" s="68" t="s">
        <v>76</v>
      </c>
      <c r="G41" s="68" t="s">
        <v>77</v>
      </c>
      <c r="H41" s="68" t="s">
        <v>1473</v>
      </c>
      <c r="I41" s="68" t="s">
        <v>1625</v>
      </c>
      <c r="J41" s="68" t="s">
        <v>341</v>
      </c>
      <c r="K41" s="68" t="s">
        <v>79</v>
      </c>
      <c r="L41" s="68" t="s">
        <v>80</v>
      </c>
      <c r="M41" s="71" t="s">
        <v>97</v>
      </c>
      <c r="N41" s="71" t="s">
        <v>1208</v>
      </c>
      <c r="O41" s="71" t="s">
        <v>1209</v>
      </c>
      <c r="P41" s="71" t="s">
        <v>82</v>
      </c>
      <c r="Q41" s="68" t="s">
        <v>1637</v>
      </c>
      <c r="R41" s="131">
        <f>COUNTIF('Part Routes'!$B:$B,B41)</f>
        <v>6</v>
      </c>
      <c r="S41" s="131">
        <f>COUNTIFS('Part Routes'!$B:$B,B41,'Part Routes'!$I:$I,"")</f>
        <v>0</v>
      </c>
      <c r="T41" s="131">
        <f>COUNTIFS('Part Routes'!$B:$B,B41,'Part Routes'!$R:$R,"*PROPOSED*")</f>
        <v>6</v>
      </c>
    </row>
    <row r="42" spans="1:20" ht="27.6" x14ac:dyDescent="0.3">
      <c r="A42" s="70" t="s">
        <v>1619</v>
      </c>
      <c r="B42" s="68" t="s">
        <v>1524</v>
      </c>
      <c r="C42" s="68" t="s">
        <v>1638</v>
      </c>
      <c r="D42" s="68" t="s">
        <v>340</v>
      </c>
      <c r="E42" s="68" t="s">
        <v>85</v>
      </c>
      <c r="F42" s="68" t="s">
        <v>92</v>
      </c>
      <c r="G42" s="68" t="s">
        <v>93</v>
      </c>
      <c r="H42" s="68" t="s">
        <v>1522</v>
      </c>
      <c r="I42" s="68" t="s">
        <v>1639</v>
      </c>
      <c r="J42" s="68" t="s">
        <v>103</v>
      </c>
      <c r="K42" s="68" t="s">
        <v>79</v>
      </c>
      <c r="L42" s="68" t="s">
        <v>80</v>
      </c>
      <c r="M42" s="71" t="s">
        <v>97</v>
      </c>
      <c r="N42" s="71" t="s">
        <v>1208</v>
      </c>
      <c r="O42" s="71" t="s">
        <v>1209</v>
      </c>
      <c r="P42" s="71" t="s">
        <v>82</v>
      </c>
      <c r="Q42" s="68" t="s">
        <v>1640</v>
      </c>
      <c r="R42" s="131">
        <f>COUNTIF('Part Routes'!$B:$B,B42)</f>
        <v>4</v>
      </c>
      <c r="S42" s="131">
        <f>COUNTIFS('Part Routes'!$B:$B,B42,'Part Routes'!$I:$I,"")</f>
        <v>0</v>
      </c>
      <c r="T42" s="131">
        <f>COUNTIFS('Part Routes'!$B:$B,B42,'Part Routes'!$R:$R,"*PROPOSED*")</f>
        <v>4</v>
      </c>
    </row>
    <row r="43" spans="1:20" ht="27.6" x14ac:dyDescent="0.3">
      <c r="A43" s="70" t="s">
        <v>1619</v>
      </c>
      <c r="B43" s="68" t="s">
        <v>1527</v>
      </c>
      <c r="C43" s="68" t="s">
        <v>1641</v>
      </c>
      <c r="D43" s="68" t="s">
        <v>340</v>
      </c>
      <c r="E43" s="68" t="s">
        <v>85</v>
      </c>
      <c r="F43" s="68" t="s">
        <v>92</v>
      </c>
      <c r="G43" s="68" t="s">
        <v>93</v>
      </c>
      <c r="H43" s="68" t="s">
        <v>311</v>
      </c>
      <c r="I43" s="68" t="s">
        <v>1642</v>
      </c>
      <c r="J43" s="68" t="s">
        <v>103</v>
      </c>
      <c r="K43" s="68" t="s">
        <v>79</v>
      </c>
      <c r="L43" s="68" t="s">
        <v>80</v>
      </c>
      <c r="M43" s="71" t="s">
        <v>97</v>
      </c>
      <c r="N43" s="71" t="s">
        <v>1208</v>
      </c>
      <c r="O43" s="71" t="s">
        <v>1209</v>
      </c>
      <c r="P43" s="71" t="s">
        <v>82</v>
      </c>
      <c r="Q43" s="68" t="s">
        <v>1643</v>
      </c>
      <c r="R43" s="131">
        <f>COUNTIF('Part Routes'!$B:$B,B43)</f>
        <v>4</v>
      </c>
      <c r="S43" s="131">
        <f>COUNTIFS('Part Routes'!$B:$B,B43,'Part Routes'!$I:$I,"")</f>
        <v>0</v>
      </c>
      <c r="T43" s="131">
        <f>COUNTIFS('Part Routes'!$B:$B,B43,'Part Routes'!$R:$R,"*PROPOSED*")</f>
        <v>4</v>
      </c>
    </row>
    <row r="44" spans="1:20" ht="27.6" x14ac:dyDescent="0.3">
      <c r="A44" s="70" t="s">
        <v>1619</v>
      </c>
      <c r="B44" s="68" t="s">
        <v>1533</v>
      </c>
      <c r="C44" s="68" t="s">
        <v>1644</v>
      </c>
      <c r="D44" s="68" t="s">
        <v>340</v>
      </c>
      <c r="E44" s="68" t="s">
        <v>354</v>
      </c>
      <c r="F44" s="68" t="s">
        <v>101</v>
      </c>
      <c r="G44" s="68" t="s">
        <v>93</v>
      </c>
      <c r="H44" s="68" t="s">
        <v>311</v>
      </c>
      <c r="I44" s="68" t="s">
        <v>1645</v>
      </c>
      <c r="J44" s="68" t="s">
        <v>103</v>
      </c>
      <c r="K44" s="68" t="s">
        <v>79</v>
      </c>
      <c r="L44" s="68" t="s">
        <v>80</v>
      </c>
      <c r="M44" s="71" t="s">
        <v>97</v>
      </c>
      <c r="N44" s="71" t="s">
        <v>1208</v>
      </c>
      <c r="O44" s="71" t="s">
        <v>1209</v>
      </c>
      <c r="P44" s="71" t="s">
        <v>82</v>
      </c>
      <c r="Q44" s="68" t="s">
        <v>1646</v>
      </c>
      <c r="R44" s="131">
        <f>COUNTIF('Part Routes'!$B:$B,B44)</f>
        <v>3</v>
      </c>
      <c r="S44" s="131">
        <f>COUNTIFS('Part Routes'!$B:$B,B44,'Part Routes'!$I:$I,"")</f>
        <v>0</v>
      </c>
      <c r="T44" s="131">
        <f>COUNTIFS('Part Routes'!$B:$B,B44,'Part Routes'!$R:$R,"*PROPOSED*")</f>
        <v>3</v>
      </c>
    </row>
    <row r="45" spans="1:20" ht="27.6" x14ac:dyDescent="0.3">
      <c r="A45" s="70" t="s">
        <v>1619</v>
      </c>
      <c r="B45" s="68" t="s">
        <v>1543</v>
      </c>
      <c r="C45" s="68" t="s">
        <v>1647</v>
      </c>
      <c r="D45" s="68" t="s">
        <v>340</v>
      </c>
      <c r="E45" s="68" t="s">
        <v>370</v>
      </c>
      <c r="F45" s="68" t="s">
        <v>76</v>
      </c>
      <c r="G45" s="68" t="s">
        <v>360</v>
      </c>
      <c r="H45" s="68" t="s">
        <v>1473</v>
      </c>
      <c r="I45" s="68" t="s">
        <v>1648</v>
      </c>
      <c r="J45" s="68" t="s">
        <v>363</v>
      </c>
      <c r="K45" s="68" t="s">
        <v>79</v>
      </c>
      <c r="L45" s="68" t="s">
        <v>80</v>
      </c>
      <c r="M45" s="71" t="s">
        <v>97</v>
      </c>
      <c r="N45" s="71" t="s">
        <v>1208</v>
      </c>
      <c r="O45" s="71" t="s">
        <v>1209</v>
      </c>
      <c r="P45" s="71" t="s">
        <v>82</v>
      </c>
      <c r="Q45" s="68" t="s">
        <v>1649</v>
      </c>
      <c r="R45" s="131">
        <f>COUNTIF('Part Routes'!$B:$B,B45)</f>
        <v>5</v>
      </c>
      <c r="S45" s="131">
        <f>COUNTIFS('Part Routes'!$B:$B,B45,'Part Routes'!$I:$I,"")</f>
        <v>0</v>
      </c>
      <c r="T45" s="131">
        <f>COUNTIFS('Part Routes'!$B:$B,B45,'Part Routes'!$R:$R,"*PROPOSED*")</f>
        <v>5</v>
      </c>
    </row>
    <row r="46" spans="1:20" ht="27.6" x14ac:dyDescent="0.3">
      <c r="A46" s="70" t="s">
        <v>1619</v>
      </c>
      <c r="B46" s="68" t="s">
        <v>1546</v>
      </c>
      <c r="C46" s="68" t="s">
        <v>1544</v>
      </c>
      <c r="D46" s="68" t="s">
        <v>340</v>
      </c>
      <c r="E46" s="68" t="s">
        <v>370</v>
      </c>
      <c r="F46" s="68" t="s">
        <v>76</v>
      </c>
      <c r="G46" s="68" t="s">
        <v>360</v>
      </c>
      <c r="H46" s="68" t="s">
        <v>1483</v>
      </c>
      <c r="I46" s="68" t="s">
        <v>1650</v>
      </c>
      <c r="J46" s="68" t="s">
        <v>363</v>
      </c>
      <c r="K46" s="68" t="s">
        <v>79</v>
      </c>
      <c r="L46" s="68" t="s">
        <v>80</v>
      </c>
      <c r="M46" s="71" t="s">
        <v>97</v>
      </c>
      <c r="N46" s="71" t="s">
        <v>1208</v>
      </c>
      <c r="O46" s="71" t="s">
        <v>1209</v>
      </c>
      <c r="P46" s="71" t="s">
        <v>82</v>
      </c>
      <c r="Q46" s="68" t="s">
        <v>1651</v>
      </c>
      <c r="R46" s="131">
        <f>COUNTIF('Part Routes'!$B:$B,B46)</f>
        <v>5</v>
      </c>
      <c r="S46" s="131">
        <f>COUNTIFS('Part Routes'!$B:$B,B46,'Part Routes'!$I:$I,"")</f>
        <v>0</v>
      </c>
      <c r="T46" s="131">
        <f>COUNTIFS('Part Routes'!$B:$B,B46,'Part Routes'!$R:$R,"*PROPOSED*")</f>
        <v>5</v>
      </c>
    </row>
    <row r="47" spans="1:20" ht="27.6" x14ac:dyDescent="0.3">
      <c r="A47" s="70" t="s">
        <v>1619</v>
      </c>
      <c r="B47" s="68" t="s">
        <v>1549</v>
      </c>
      <c r="C47" s="68" t="s">
        <v>1652</v>
      </c>
      <c r="D47" s="68" t="s">
        <v>340</v>
      </c>
      <c r="E47" s="68" t="s">
        <v>100</v>
      </c>
      <c r="F47" s="68" t="s">
        <v>101</v>
      </c>
      <c r="G47" s="68" t="s">
        <v>102</v>
      </c>
      <c r="H47" s="68" t="s">
        <v>1547</v>
      </c>
      <c r="I47" s="68" t="s">
        <v>1653</v>
      </c>
      <c r="J47" s="68" t="s">
        <v>103</v>
      </c>
      <c r="K47" s="68" t="s">
        <v>79</v>
      </c>
      <c r="L47" s="68" t="s">
        <v>104</v>
      </c>
      <c r="M47" s="71" t="s">
        <v>97</v>
      </c>
      <c r="N47" s="71" t="s">
        <v>1208</v>
      </c>
      <c r="O47" s="71" t="s">
        <v>1209</v>
      </c>
      <c r="P47" s="71" t="s">
        <v>82</v>
      </c>
      <c r="Q47" s="68" t="s">
        <v>1654</v>
      </c>
      <c r="R47" s="131">
        <f>COUNTIF('Part Routes'!$B:$B,B47)</f>
        <v>3</v>
      </c>
      <c r="S47" s="131">
        <f>COUNTIFS('Part Routes'!$B:$B,B47,'Part Routes'!$I:$I,"")</f>
        <v>0</v>
      </c>
      <c r="T47" s="131">
        <f>COUNTIFS('Part Routes'!$B:$B,B47,'Part Routes'!$R:$R,"*PROPOSED*")</f>
        <v>3</v>
      </c>
    </row>
    <row r="48" spans="1:20" ht="27.6" x14ac:dyDescent="0.3">
      <c r="A48" s="70" t="s">
        <v>1619</v>
      </c>
      <c r="B48" s="68" t="s">
        <v>1553</v>
      </c>
      <c r="C48" s="68" t="s">
        <v>1655</v>
      </c>
      <c r="D48" s="68" t="s">
        <v>340</v>
      </c>
      <c r="E48" s="68" t="s">
        <v>100</v>
      </c>
      <c r="F48" s="68" t="s">
        <v>101</v>
      </c>
      <c r="G48" s="68" t="s">
        <v>102</v>
      </c>
      <c r="H48" s="68" t="s">
        <v>1551</v>
      </c>
      <c r="I48" s="68" t="s">
        <v>1656</v>
      </c>
      <c r="J48" s="68" t="s">
        <v>103</v>
      </c>
      <c r="K48" s="68" t="s">
        <v>79</v>
      </c>
      <c r="L48" s="68" t="s">
        <v>104</v>
      </c>
      <c r="M48" s="71" t="s">
        <v>97</v>
      </c>
      <c r="N48" s="71" t="s">
        <v>1208</v>
      </c>
      <c r="O48" s="71" t="s">
        <v>1209</v>
      </c>
      <c r="P48" s="71" t="s">
        <v>82</v>
      </c>
      <c r="Q48" s="68" t="s">
        <v>1657</v>
      </c>
      <c r="R48" s="131">
        <f>COUNTIF('Part Routes'!$B:$B,B48)</f>
        <v>3</v>
      </c>
      <c r="S48" s="131">
        <f>COUNTIFS('Part Routes'!$B:$B,B48,'Part Routes'!$I:$I,"")</f>
        <v>0</v>
      </c>
      <c r="T48" s="131">
        <f>COUNTIFS('Part Routes'!$B:$B,B48,'Part Routes'!$R:$R,"*PROPOSED*")</f>
        <v>3</v>
      </c>
    </row>
    <row r="49" spans="1:20" ht="27.6" x14ac:dyDescent="0.3">
      <c r="A49" s="70" t="s">
        <v>1619</v>
      </c>
      <c r="B49" s="68" t="s">
        <v>1516</v>
      </c>
      <c r="C49" s="68" t="s">
        <v>1556</v>
      </c>
      <c r="D49" s="68" t="s">
        <v>340</v>
      </c>
      <c r="E49" s="68" t="s">
        <v>370</v>
      </c>
      <c r="F49" s="68" t="s">
        <v>76</v>
      </c>
      <c r="G49" s="68" t="s">
        <v>86</v>
      </c>
      <c r="H49" s="68" t="s">
        <v>1658</v>
      </c>
      <c r="I49" s="68" t="s">
        <v>1659</v>
      </c>
      <c r="J49" s="68" t="s">
        <v>87</v>
      </c>
      <c r="K49" s="68" t="s">
        <v>79</v>
      </c>
      <c r="L49" s="68" t="s">
        <v>80</v>
      </c>
      <c r="M49" s="71" t="s">
        <v>97</v>
      </c>
      <c r="N49" s="71" t="s">
        <v>1208</v>
      </c>
      <c r="O49" s="71" t="s">
        <v>1209</v>
      </c>
      <c r="P49" s="71" t="s">
        <v>82</v>
      </c>
      <c r="Q49" s="68" t="s">
        <v>1660</v>
      </c>
      <c r="R49" s="131">
        <f>COUNTIF('Part Routes'!$B:$B,B49)</f>
        <v>6</v>
      </c>
      <c r="S49" s="131">
        <f>COUNTIFS('Part Routes'!$B:$B,B49,'Part Routes'!$I:$I,"")</f>
        <v>0</v>
      </c>
      <c r="T49" s="131">
        <f>COUNTIFS('Part Routes'!$B:$B,B49,'Part Routes'!$R:$R,"*PROPOSED*")</f>
        <v>6</v>
      </c>
    </row>
    <row r="50" spans="1:20" ht="27.6" x14ac:dyDescent="0.3">
      <c r="A50" s="70" t="s">
        <v>1619</v>
      </c>
      <c r="B50" s="68" t="s">
        <v>1562</v>
      </c>
      <c r="C50" s="68" t="s">
        <v>1560</v>
      </c>
      <c r="D50" s="68" t="s">
        <v>340</v>
      </c>
      <c r="E50" s="68" t="s">
        <v>370</v>
      </c>
      <c r="F50" s="68" t="s">
        <v>76</v>
      </c>
      <c r="G50" s="68" t="s">
        <v>86</v>
      </c>
      <c r="H50" s="68" t="s">
        <v>1514</v>
      </c>
      <c r="I50" s="68" t="s">
        <v>1661</v>
      </c>
      <c r="J50" s="68" t="s">
        <v>87</v>
      </c>
      <c r="K50" s="68" t="s">
        <v>79</v>
      </c>
      <c r="L50" s="68" t="s">
        <v>80</v>
      </c>
      <c r="M50" s="71" t="s">
        <v>97</v>
      </c>
      <c r="N50" s="71" t="s">
        <v>1208</v>
      </c>
      <c r="O50" s="71" t="s">
        <v>1209</v>
      </c>
      <c r="P50" s="71" t="s">
        <v>82</v>
      </c>
      <c r="Q50" s="68" t="s">
        <v>1662</v>
      </c>
      <c r="R50" s="131">
        <f>COUNTIF('Part Routes'!$B:$B,B50)</f>
        <v>6</v>
      </c>
      <c r="S50" s="131">
        <f>COUNTIFS('Part Routes'!$B:$B,B50,'Part Routes'!$I:$I,"")</f>
        <v>0</v>
      </c>
      <c r="T50" s="131">
        <f>COUNTIFS('Part Routes'!$B:$B,B50,'Part Routes'!$R:$R,"*PROPOSED*")</f>
        <v>6</v>
      </c>
    </row>
    <row r="51" spans="1:20" ht="27.6" x14ac:dyDescent="0.3">
      <c r="A51" s="70" t="s">
        <v>1619</v>
      </c>
      <c r="B51" s="68" t="s">
        <v>1565</v>
      </c>
      <c r="C51" s="68" t="s">
        <v>1663</v>
      </c>
      <c r="D51" s="68" t="s">
        <v>340</v>
      </c>
      <c r="E51" s="68" t="s">
        <v>370</v>
      </c>
      <c r="F51" s="68" t="s">
        <v>76</v>
      </c>
      <c r="G51" s="68" t="s">
        <v>77</v>
      </c>
      <c r="H51" s="68" t="s">
        <v>1473</v>
      </c>
      <c r="I51" s="68" t="s">
        <v>1664</v>
      </c>
      <c r="J51" s="68" t="s">
        <v>94</v>
      </c>
      <c r="K51" s="68" t="s">
        <v>79</v>
      </c>
      <c r="L51" s="68" t="s">
        <v>80</v>
      </c>
      <c r="M51" s="71" t="s">
        <v>97</v>
      </c>
      <c r="N51" s="71" t="s">
        <v>1208</v>
      </c>
      <c r="O51" s="71" t="s">
        <v>1209</v>
      </c>
      <c r="P51" s="71" t="s">
        <v>82</v>
      </c>
      <c r="Q51" s="68" t="s">
        <v>1665</v>
      </c>
      <c r="R51" s="131">
        <f>COUNTIF('Part Routes'!$B:$B,B51)</f>
        <v>6</v>
      </c>
      <c r="S51" s="131">
        <f>COUNTIFS('Part Routes'!$B:$B,B51,'Part Routes'!$I:$I,"")</f>
        <v>0</v>
      </c>
      <c r="T51" s="131">
        <f>COUNTIFS('Part Routes'!$B:$B,B51,'Part Routes'!$R:$R,"*PROPOSED*")</f>
        <v>6</v>
      </c>
    </row>
    <row r="52" spans="1:20" ht="27.6" x14ac:dyDescent="0.3">
      <c r="A52" s="70" t="s">
        <v>1619</v>
      </c>
      <c r="B52" s="68" t="s">
        <v>1571</v>
      </c>
      <c r="C52" s="68" t="s">
        <v>1568</v>
      </c>
      <c r="D52" s="68" t="s">
        <v>340</v>
      </c>
      <c r="E52" s="68" t="s">
        <v>370</v>
      </c>
      <c r="F52" s="68" t="s">
        <v>101</v>
      </c>
      <c r="G52" s="68" t="s">
        <v>102</v>
      </c>
      <c r="H52" s="68" t="s">
        <v>1569</v>
      </c>
      <c r="I52" s="68" t="s">
        <v>1666</v>
      </c>
      <c r="J52" s="68" t="s">
        <v>103</v>
      </c>
      <c r="K52" s="68" t="s">
        <v>79</v>
      </c>
      <c r="L52" s="68" t="s">
        <v>80</v>
      </c>
      <c r="M52" s="71" t="s">
        <v>97</v>
      </c>
      <c r="N52" s="71" t="s">
        <v>1208</v>
      </c>
      <c r="O52" s="71" t="s">
        <v>1209</v>
      </c>
      <c r="P52" s="71" t="s">
        <v>82</v>
      </c>
      <c r="Q52" s="68" t="s">
        <v>1667</v>
      </c>
      <c r="R52" s="131">
        <f>COUNTIF('Part Routes'!$B:$B,B52)</f>
        <v>3</v>
      </c>
      <c r="S52" s="131">
        <f>COUNTIFS('Part Routes'!$B:$B,B52,'Part Routes'!$I:$I,"")</f>
        <v>0</v>
      </c>
      <c r="T52" s="131">
        <f>COUNTIFS('Part Routes'!$B:$B,B52,'Part Routes'!$R:$R,"*PROPOSED*")</f>
        <v>3</v>
      </c>
    </row>
    <row r="53" spans="1:20" ht="27.6" x14ac:dyDescent="0.3">
      <c r="A53" s="70" t="s">
        <v>1619</v>
      </c>
      <c r="B53" s="68" t="s">
        <v>1575</v>
      </c>
      <c r="C53" s="68" t="s">
        <v>1573</v>
      </c>
      <c r="D53" s="68" t="s">
        <v>340</v>
      </c>
      <c r="E53" s="68" t="s">
        <v>370</v>
      </c>
      <c r="F53" s="68" t="s">
        <v>76</v>
      </c>
      <c r="G53" s="68" t="s">
        <v>77</v>
      </c>
      <c r="H53" s="68" t="s">
        <v>1473</v>
      </c>
      <c r="I53" s="68" t="s">
        <v>1668</v>
      </c>
      <c r="J53" s="68" t="s">
        <v>341</v>
      </c>
      <c r="K53" s="68" t="s">
        <v>79</v>
      </c>
      <c r="L53" s="68" t="s">
        <v>80</v>
      </c>
      <c r="M53" s="71" t="s">
        <v>97</v>
      </c>
      <c r="N53" s="71" t="s">
        <v>1208</v>
      </c>
      <c r="O53" s="71" t="s">
        <v>1209</v>
      </c>
      <c r="P53" s="71" t="s">
        <v>82</v>
      </c>
      <c r="Q53" s="68" t="s">
        <v>1669</v>
      </c>
      <c r="R53" s="131">
        <f>COUNTIF('Part Routes'!$B:$B,B53)</f>
        <v>6</v>
      </c>
      <c r="S53" s="131">
        <f>COUNTIFS('Part Routes'!$B:$B,B53,'Part Routes'!$I:$I,"")</f>
        <v>0</v>
      </c>
      <c r="T53" s="131">
        <f>COUNTIFS('Part Routes'!$B:$B,B53,'Part Routes'!$R:$R,"*PROPOSED*")</f>
        <v>6</v>
      </c>
    </row>
    <row r="54" spans="1:20" ht="27.6" x14ac:dyDescent="0.3">
      <c r="A54" s="70" t="s">
        <v>1619</v>
      </c>
      <c r="B54" s="68" t="s">
        <v>1578</v>
      </c>
      <c r="C54" s="68" t="s">
        <v>1670</v>
      </c>
      <c r="D54" s="68" t="s">
        <v>340</v>
      </c>
      <c r="E54" s="68" t="s">
        <v>370</v>
      </c>
      <c r="F54" s="68" t="s">
        <v>92</v>
      </c>
      <c r="G54" s="68" t="s">
        <v>360</v>
      </c>
      <c r="H54" s="68" t="s">
        <v>322</v>
      </c>
      <c r="I54" s="68" t="s">
        <v>1671</v>
      </c>
      <c r="J54" s="68" t="s">
        <v>363</v>
      </c>
      <c r="K54" s="68" t="s">
        <v>79</v>
      </c>
      <c r="L54" s="68" t="s">
        <v>80</v>
      </c>
      <c r="M54" s="71" t="s">
        <v>97</v>
      </c>
      <c r="N54" s="71" t="s">
        <v>1208</v>
      </c>
      <c r="O54" s="71" t="s">
        <v>1209</v>
      </c>
      <c r="P54" s="71" t="s">
        <v>82</v>
      </c>
      <c r="Q54" s="68" t="s">
        <v>1672</v>
      </c>
      <c r="R54" s="131">
        <f>COUNTIF('Part Routes'!$B:$B,B54)</f>
        <v>4</v>
      </c>
      <c r="S54" s="131">
        <f>COUNTIFS('Part Routes'!$B:$B,B54,'Part Routes'!$I:$I,"")</f>
        <v>0</v>
      </c>
      <c r="T54" s="131">
        <f>COUNTIFS('Part Routes'!$B:$B,B54,'Part Routes'!$R:$R,"*PROPOSED*")</f>
        <v>4</v>
      </c>
    </row>
    <row r="55" spans="1:20" ht="27.6" x14ac:dyDescent="0.3">
      <c r="A55" s="70" t="s">
        <v>1619</v>
      </c>
      <c r="B55" s="68" t="s">
        <v>1582</v>
      </c>
      <c r="C55" s="68" t="s">
        <v>1673</v>
      </c>
      <c r="D55" s="68" t="s">
        <v>340</v>
      </c>
      <c r="E55" s="68" t="s">
        <v>370</v>
      </c>
      <c r="F55" s="68" t="s">
        <v>76</v>
      </c>
      <c r="G55" s="68" t="s">
        <v>360</v>
      </c>
      <c r="H55" s="68" t="s">
        <v>1473</v>
      </c>
      <c r="I55" s="68" t="s">
        <v>1674</v>
      </c>
      <c r="J55" s="68" t="s">
        <v>363</v>
      </c>
      <c r="K55" s="68" t="s">
        <v>79</v>
      </c>
      <c r="L55" s="68" t="s">
        <v>80</v>
      </c>
      <c r="M55" s="71" t="s">
        <v>97</v>
      </c>
      <c r="N55" s="71" t="s">
        <v>1208</v>
      </c>
      <c r="O55" s="71" t="s">
        <v>1209</v>
      </c>
      <c r="P55" s="71" t="s">
        <v>82</v>
      </c>
      <c r="Q55" s="68" t="s">
        <v>1675</v>
      </c>
      <c r="R55" s="131">
        <f>COUNTIF('Part Routes'!$B:$B,B55)</f>
        <v>5</v>
      </c>
      <c r="S55" s="131">
        <f>COUNTIFS('Part Routes'!$B:$B,B55,'Part Routes'!$I:$I,"")</f>
        <v>0</v>
      </c>
      <c r="T55" s="131">
        <f>COUNTIFS('Part Routes'!$B:$B,B55,'Part Routes'!$R:$R,"*PROPOSED*")</f>
        <v>5</v>
      </c>
    </row>
    <row r="56" spans="1:20" ht="27.6" x14ac:dyDescent="0.3">
      <c r="A56" s="70" t="s">
        <v>1619</v>
      </c>
      <c r="B56" s="68" t="s">
        <v>1585</v>
      </c>
      <c r="C56" s="68" t="s">
        <v>1583</v>
      </c>
      <c r="D56" s="68" t="s">
        <v>340</v>
      </c>
      <c r="E56" s="68" t="s">
        <v>370</v>
      </c>
      <c r="F56" s="68" t="s">
        <v>92</v>
      </c>
      <c r="G56" s="68" t="s">
        <v>360</v>
      </c>
      <c r="H56" s="68" t="s">
        <v>324</v>
      </c>
      <c r="I56" s="68" t="s">
        <v>1676</v>
      </c>
      <c r="J56" s="68" t="s">
        <v>363</v>
      </c>
      <c r="K56" s="68" t="s">
        <v>79</v>
      </c>
      <c r="L56" s="68" t="s">
        <v>80</v>
      </c>
      <c r="M56" s="71" t="s">
        <v>97</v>
      </c>
      <c r="N56" s="71" t="s">
        <v>1208</v>
      </c>
      <c r="O56" s="71" t="s">
        <v>1209</v>
      </c>
      <c r="P56" s="71" t="s">
        <v>82</v>
      </c>
      <c r="Q56" s="68" t="s">
        <v>1677</v>
      </c>
      <c r="R56" s="131">
        <f>COUNTIF('Part Routes'!$B:$B,B56)</f>
        <v>4</v>
      </c>
      <c r="S56" s="131">
        <f>COUNTIFS('Part Routes'!$B:$B,B56,'Part Routes'!$I:$I,"")</f>
        <v>0</v>
      </c>
      <c r="T56" s="131">
        <f>COUNTIFS('Part Routes'!$B:$B,B56,'Part Routes'!$R:$R,"*PROPOSED*")</f>
        <v>4</v>
      </c>
    </row>
    <row r="57" spans="1:20" ht="27.6" x14ac:dyDescent="0.3">
      <c r="A57" s="70" t="s">
        <v>1619</v>
      </c>
      <c r="B57" s="68" t="s">
        <v>1589</v>
      </c>
      <c r="C57" s="68" t="s">
        <v>1678</v>
      </c>
      <c r="D57" s="68" t="s">
        <v>340</v>
      </c>
      <c r="E57" s="68" t="s">
        <v>380</v>
      </c>
      <c r="F57" s="68" t="s">
        <v>76</v>
      </c>
      <c r="G57" s="68" t="s">
        <v>369</v>
      </c>
      <c r="H57" s="68" t="s">
        <v>1473</v>
      </c>
      <c r="I57" s="68" t="s">
        <v>1679</v>
      </c>
      <c r="J57" s="68" t="s">
        <v>371</v>
      </c>
      <c r="K57" s="68" t="s">
        <v>79</v>
      </c>
      <c r="L57" s="68" t="s">
        <v>80</v>
      </c>
      <c r="M57" s="71" t="s">
        <v>97</v>
      </c>
      <c r="N57" s="71" t="s">
        <v>1208</v>
      </c>
      <c r="O57" s="71" t="s">
        <v>1209</v>
      </c>
      <c r="P57" s="71" t="s">
        <v>82</v>
      </c>
      <c r="Q57" s="68" t="s">
        <v>1680</v>
      </c>
      <c r="R57" s="131">
        <f>COUNTIF('Part Routes'!$B:$B,B57)</f>
        <v>8</v>
      </c>
      <c r="S57" s="131">
        <f>COUNTIFS('Part Routes'!$B:$B,B57,'Part Routes'!$I:$I,"")</f>
        <v>0</v>
      </c>
      <c r="T57" s="131">
        <f>COUNTIFS('Part Routes'!$B:$B,B57,'Part Routes'!$R:$R,"*PROPOSED*")</f>
        <v>8</v>
      </c>
    </row>
    <row r="58" spans="1:20" ht="27.6" x14ac:dyDescent="0.3">
      <c r="A58" s="70" t="s">
        <v>1619</v>
      </c>
      <c r="B58" s="68" t="s">
        <v>1598</v>
      </c>
      <c r="C58" s="68" t="s">
        <v>1681</v>
      </c>
      <c r="D58" s="68" t="s">
        <v>340</v>
      </c>
      <c r="E58" s="68" t="s">
        <v>370</v>
      </c>
      <c r="F58" s="68" t="s">
        <v>76</v>
      </c>
      <c r="G58" s="68" t="s">
        <v>77</v>
      </c>
      <c r="H58" s="68" t="s">
        <v>1473</v>
      </c>
      <c r="I58" s="68" t="s">
        <v>1682</v>
      </c>
      <c r="J58" s="68" t="s">
        <v>341</v>
      </c>
      <c r="K58" s="68" t="s">
        <v>79</v>
      </c>
      <c r="L58" s="68" t="s">
        <v>80</v>
      </c>
      <c r="M58" s="71" t="s">
        <v>97</v>
      </c>
      <c r="N58" s="71" t="s">
        <v>1208</v>
      </c>
      <c r="O58" s="71" t="s">
        <v>1209</v>
      </c>
      <c r="P58" s="71" t="s">
        <v>82</v>
      </c>
      <c r="Q58" s="68" t="s">
        <v>1683</v>
      </c>
      <c r="R58" s="131">
        <f>COUNTIF('Part Routes'!$B:$B,B58)</f>
        <v>6</v>
      </c>
      <c r="S58" s="131">
        <f>COUNTIFS('Part Routes'!$B:$B,B58,'Part Routes'!$I:$I,"")</f>
        <v>0</v>
      </c>
      <c r="T58" s="131">
        <f>COUNTIFS('Part Routes'!$B:$B,B58,'Part Routes'!$R:$R,"*PROPOSED*")</f>
        <v>6</v>
      </c>
    </row>
    <row r="59" spans="1:20" ht="27.6" x14ac:dyDescent="0.3">
      <c r="A59" s="70" t="s">
        <v>1619</v>
      </c>
      <c r="B59" s="68" t="s">
        <v>1600</v>
      </c>
      <c r="C59" s="68" t="s">
        <v>1684</v>
      </c>
      <c r="D59" s="68" t="s">
        <v>340</v>
      </c>
      <c r="E59" s="68" t="s">
        <v>370</v>
      </c>
      <c r="F59" s="68" t="s">
        <v>76</v>
      </c>
      <c r="G59" s="68" t="s">
        <v>77</v>
      </c>
      <c r="H59" s="68" t="s">
        <v>1473</v>
      </c>
      <c r="I59" s="68" t="s">
        <v>1685</v>
      </c>
      <c r="J59" s="68" t="s">
        <v>341</v>
      </c>
      <c r="K59" s="68" t="s">
        <v>79</v>
      </c>
      <c r="L59" s="68" t="s">
        <v>80</v>
      </c>
      <c r="M59" s="71" t="s">
        <v>97</v>
      </c>
      <c r="N59" s="71" t="s">
        <v>1208</v>
      </c>
      <c r="O59" s="71" t="s">
        <v>1209</v>
      </c>
      <c r="P59" s="71" t="s">
        <v>82</v>
      </c>
      <c r="Q59" s="68" t="s">
        <v>1686</v>
      </c>
      <c r="R59" s="131">
        <f>COUNTIF('Part Routes'!$B:$B,B59)</f>
        <v>6</v>
      </c>
      <c r="S59" s="131">
        <f>COUNTIFS('Part Routes'!$B:$B,B59,'Part Routes'!$I:$I,"")</f>
        <v>0</v>
      </c>
      <c r="T59" s="131">
        <f>COUNTIFS('Part Routes'!$B:$B,B59,'Part Routes'!$R:$R,"*PROPOSED*")</f>
        <v>6</v>
      </c>
    </row>
    <row r="60" spans="1:20" ht="27.6" x14ac:dyDescent="0.3">
      <c r="A60" s="70" t="s">
        <v>1619</v>
      </c>
      <c r="B60" s="68" t="s">
        <v>1603</v>
      </c>
      <c r="C60" s="68" t="s">
        <v>1687</v>
      </c>
      <c r="D60" s="68" t="s">
        <v>340</v>
      </c>
      <c r="E60" s="68" t="s">
        <v>370</v>
      </c>
      <c r="F60" s="68" t="s">
        <v>76</v>
      </c>
      <c r="G60" s="68" t="s">
        <v>77</v>
      </c>
      <c r="H60" s="68" t="s">
        <v>1473</v>
      </c>
      <c r="I60" s="68" t="s">
        <v>1625</v>
      </c>
      <c r="J60" s="68" t="s">
        <v>341</v>
      </c>
      <c r="K60" s="68" t="s">
        <v>79</v>
      </c>
      <c r="L60" s="68" t="s">
        <v>80</v>
      </c>
      <c r="M60" s="71" t="s">
        <v>97</v>
      </c>
      <c r="N60" s="71" t="s">
        <v>1208</v>
      </c>
      <c r="O60" s="71" t="s">
        <v>1209</v>
      </c>
      <c r="P60" s="71" t="s">
        <v>82</v>
      </c>
      <c r="Q60" s="68" t="s">
        <v>1688</v>
      </c>
      <c r="R60" s="131">
        <f>COUNTIF('Part Routes'!$B:$B,B60)</f>
        <v>6</v>
      </c>
      <c r="S60" s="131">
        <f>COUNTIFS('Part Routes'!$B:$B,B60,'Part Routes'!$I:$I,"")</f>
        <v>0</v>
      </c>
      <c r="T60" s="131">
        <f>COUNTIFS('Part Routes'!$B:$B,B60,'Part Routes'!$R:$R,"*PROPOSED*")</f>
        <v>6</v>
      </c>
    </row>
    <row r="61" spans="1:20" ht="27.6" x14ac:dyDescent="0.3">
      <c r="A61" s="70" t="s">
        <v>1619</v>
      </c>
      <c r="B61" s="68" t="s">
        <v>1607</v>
      </c>
      <c r="C61" s="68" t="s">
        <v>1605</v>
      </c>
      <c r="D61" s="68" t="s">
        <v>340</v>
      </c>
      <c r="E61" s="68" t="s">
        <v>370</v>
      </c>
      <c r="F61" s="68" t="s">
        <v>76</v>
      </c>
      <c r="G61" s="68" t="s">
        <v>77</v>
      </c>
      <c r="H61" s="68" t="s">
        <v>1473</v>
      </c>
      <c r="I61" s="68" t="s">
        <v>1685</v>
      </c>
      <c r="J61" s="68" t="s">
        <v>341</v>
      </c>
      <c r="K61" s="68" t="s">
        <v>79</v>
      </c>
      <c r="L61" s="68" t="s">
        <v>80</v>
      </c>
      <c r="M61" s="71" t="s">
        <v>97</v>
      </c>
      <c r="N61" s="71" t="s">
        <v>1208</v>
      </c>
      <c r="O61" s="71" t="s">
        <v>1209</v>
      </c>
      <c r="P61" s="71" t="s">
        <v>82</v>
      </c>
      <c r="Q61" s="68" t="s">
        <v>1689</v>
      </c>
      <c r="R61" s="131">
        <f>COUNTIF('Part Routes'!$B:$B,B61)</f>
        <v>6</v>
      </c>
      <c r="S61" s="131">
        <f>COUNTIFS('Part Routes'!$B:$B,B61,'Part Routes'!$I:$I,"")</f>
        <v>0</v>
      </c>
      <c r="T61" s="131">
        <f>COUNTIFS('Part Routes'!$B:$B,B61,'Part Routes'!$R:$R,"*PROPOSED*")</f>
        <v>6</v>
      </c>
    </row>
    <row r="62" spans="1:20" ht="27.6" x14ac:dyDescent="0.3">
      <c r="A62" s="70" t="s">
        <v>1619</v>
      </c>
      <c r="B62" s="68" t="s">
        <v>1610</v>
      </c>
      <c r="C62" s="68" t="s">
        <v>1608</v>
      </c>
      <c r="D62" s="68" t="s">
        <v>340</v>
      </c>
      <c r="E62" s="68" t="s">
        <v>376</v>
      </c>
      <c r="F62" s="68" t="s">
        <v>76</v>
      </c>
      <c r="G62" s="68" t="s">
        <v>77</v>
      </c>
      <c r="H62" s="68" t="s">
        <v>1473</v>
      </c>
      <c r="I62" s="68" t="s">
        <v>1690</v>
      </c>
      <c r="J62" s="68" t="s">
        <v>341</v>
      </c>
      <c r="K62" s="68" t="s">
        <v>79</v>
      </c>
      <c r="L62" s="68" t="s">
        <v>80</v>
      </c>
      <c r="M62" s="71" t="s">
        <v>97</v>
      </c>
      <c r="N62" s="71" t="s">
        <v>1208</v>
      </c>
      <c r="O62" s="71" t="s">
        <v>1209</v>
      </c>
      <c r="P62" s="71" t="s">
        <v>82</v>
      </c>
      <c r="Q62" s="68" t="s">
        <v>1691</v>
      </c>
      <c r="R62" s="131">
        <f>COUNTIF('Part Routes'!$B:$B,B62)</f>
        <v>6</v>
      </c>
      <c r="S62" s="131">
        <f>COUNTIFS('Part Routes'!$B:$B,B62,'Part Routes'!$I:$I,"")</f>
        <v>0</v>
      </c>
      <c r="T62" s="131">
        <f>COUNTIFS('Part Routes'!$B:$B,B62,'Part Routes'!$R:$R,"*PROPOSED*")</f>
        <v>6</v>
      </c>
    </row>
    <row r="63" spans="1:20" ht="27.6" x14ac:dyDescent="0.3">
      <c r="A63" s="70" t="s">
        <v>1619</v>
      </c>
      <c r="B63" s="68" t="s">
        <v>1612</v>
      </c>
      <c r="C63" s="68" t="s">
        <v>484</v>
      </c>
      <c r="D63" s="68" t="s">
        <v>340</v>
      </c>
      <c r="E63" s="68" t="s">
        <v>376</v>
      </c>
      <c r="F63" s="68" t="s">
        <v>355</v>
      </c>
      <c r="G63" s="68" t="s">
        <v>77</v>
      </c>
      <c r="H63" s="68" t="s">
        <v>324</v>
      </c>
      <c r="I63" s="68" t="s">
        <v>1692</v>
      </c>
      <c r="J63" s="68" t="s">
        <v>341</v>
      </c>
      <c r="K63" s="68" t="s">
        <v>79</v>
      </c>
      <c r="L63" s="68" t="s">
        <v>80</v>
      </c>
      <c r="M63" s="71" t="s">
        <v>97</v>
      </c>
      <c r="N63" s="71" t="s">
        <v>1208</v>
      </c>
      <c r="O63" s="71" t="s">
        <v>1209</v>
      </c>
      <c r="P63" s="71" t="s">
        <v>82</v>
      </c>
      <c r="Q63" s="68" t="s">
        <v>1693</v>
      </c>
      <c r="R63" s="131">
        <f>COUNTIF('Part Routes'!$B:$B,B63)</f>
        <v>5</v>
      </c>
      <c r="S63" s="131">
        <f>COUNTIFS('Part Routes'!$B:$B,B63,'Part Routes'!$I:$I,"")</f>
        <v>0</v>
      </c>
      <c r="T63" s="131">
        <f>COUNTIFS('Part Routes'!$B:$B,B63,'Part Routes'!$R:$R,"*PROPOSED*")</f>
        <v>5</v>
      </c>
    </row>
    <row r="64" spans="1:20" ht="27.6" x14ac:dyDescent="0.3">
      <c r="A64" s="70" t="s">
        <v>1619</v>
      </c>
      <c r="B64" s="68" t="s">
        <v>1616</v>
      </c>
      <c r="C64" s="68" t="s">
        <v>1613</v>
      </c>
      <c r="D64" s="68" t="s">
        <v>340</v>
      </c>
      <c r="E64" s="68" t="s">
        <v>370</v>
      </c>
      <c r="F64" s="68" t="s">
        <v>101</v>
      </c>
      <c r="G64" s="68" t="s">
        <v>102</v>
      </c>
      <c r="H64" s="68" t="s">
        <v>1614</v>
      </c>
      <c r="I64" s="68" t="s">
        <v>1694</v>
      </c>
      <c r="J64" s="68" t="s">
        <v>103</v>
      </c>
      <c r="K64" s="68" t="s">
        <v>79</v>
      </c>
      <c r="L64" s="68" t="s">
        <v>80</v>
      </c>
      <c r="M64" s="71" t="s">
        <v>97</v>
      </c>
      <c r="N64" s="71" t="s">
        <v>1208</v>
      </c>
      <c r="O64" s="71" t="s">
        <v>1209</v>
      </c>
      <c r="P64" s="71" t="s">
        <v>82</v>
      </c>
      <c r="Q64" s="68" t="s">
        <v>1695</v>
      </c>
      <c r="R64" s="131">
        <f>COUNTIF('Part Routes'!$B:$B,B64)</f>
        <v>3</v>
      </c>
      <c r="S64" s="131">
        <f>COUNTIFS('Part Routes'!$B:$B,B64,'Part Routes'!$I:$I,"")</f>
        <v>0</v>
      </c>
      <c r="T64" s="131">
        <f>COUNTIFS('Part Routes'!$B:$B,B64,'Part Routes'!$R:$R,"*PROPOSED*")</f>
        <v>3</v>
      </c>
    </row>
    <row r="65" spans="1:20" x14ac:dyDescent="0.3">
      <c r="A65" s="9"/>
      <c r="B65" s="9"/>
      <c r="C65" s="9"/>
      <c r="D65" s="9"/>
      <c r="E65" s="9"/>
      <c r="F65" s="9"/>
      <c r="G65" s="9"/>
      <c r="H65" s="9"/>
      <c r="I65" s="9"/>
      <c r="J65" s="9"/>
      <c r="K65" s="9"/>
      <c r="L65" s="9"/>
      <c r="M65" s="9"/>
      <c r="N65" s="9"/>
      <c r="O65" s="9"/>
      <c r="P65" s="9"/>
      <c r="Q65" s="9"/>
      <c r="R65" s="10" t="str">
        <f>IF(B65="","",COUNTIF('Part Routes'!$B:$B,B65))</f>
        <v/>
      </c>
      <c r="S65" s="10" t="str">
        <f>IF(B65="","",IF(D65="PV",COUNTIFS('Part Routes'!$B:$B,B65,'Part Routes'!$I:$I,""),IF(D65="HE",COUNTIFS('Part Routes'!$B:$B,B65,'Part Routes'!$J:$J,""),COUNTIFS('Part Routes'!$B:$B,B65,'Part Routes'!$I:$I,"")+COUNTIFS('Part Routes'!$B:$B,B65,'Part Routes'!$J:$J,""))))</f>
        <v/>
      </c>
      <c r="T65" s="10" t="str">
        <f t="shared" si="0"/>
        <v/>
      </c>
    </row>
    <row r="66" spans="1:20" x14ac:dyDescent="0.3">
      <c r="A66" s="9"/>
      <c r="B66" s="9"/>
      <c r="C66" s="9"/>
      <c r="D66" s="9"/>
      <c r="E66" s="9"/>
      <c r="F66" s="9"/>
      <c r="G66" s="9"/>
      <c r="H66" s="9"/>
      <c r="I66" s="9"/>
      <c r="J66" s="9"/>
      <c r="K66" s="9"/>
      <c r="L66" s="9"/>
      <c r="M66" s="9"/>
      <c r="N66" s="9"/>
      <c r="O66" s="9"/>
      <c r="P66" s="9"/>
      <c r="Q66" s="9"/>
      <c r="R66" s="10" t="str">
        <f>IF(B66="","",COUNTIF('Part Routes'!$B:$B,B66))</f>
        <v/>
      </c>
      <c r="S66" s="10" t="str">
        <f>IF(B66="","",IF(D66="PV",COUNTIFS('Part Routes'!$B:$B,B66,'Part Routes'!$I:$I,""),IF(D66="HE",COUNTIFS('Part Routes'!$B:$B,B66,'Part Routes'!$J:$J,""),COUNTIFS('Part Routes'!$B:$B,B66,'Part Routes'!$I:$I,"")+COUNTIFS('Part Routes'!$B:$B,B66,'Part Routes'!$J:$J,""))))</f>
        <v/>
      </c>
      <c r="T66" s="10" t="str">
        <f t="shared" si="0"/>
        <v/>
      </c>
    </row>
    <row r="67" spans="1:20" x14ac:dyDescent="0.3">
      <c r="A67" s="9"/>
      <c r="B67" s="9"/>
      <c r="C67" s="9"/>
      <c r="D67" s="9"/>
      <c r="E67" s="9"/>
      <c r="F67" s="9"/>
      <c r="G67" s="9"/>
      <c r="H67" s="9"/>
      <c r="I67" s="9"/>
      <c r="J67" s="9"/>
      <c r="K67" s="9"/>
      <c r="L67" s="9"/>
      <c r="M67" s="9"/>
      <c r="N67" s="9"/>
      <c r="O67" s="9"/>
      <c r="P67" s="9"/>
      <c r="Q67" s="9"/>
      <c r="R67" s="10" t="str">
        <f>IF(B67="","",COUNTIF('Part Routes'!$B:$B,B67))</f>
        <v/>
      </c>
      <c r="S67" s="10" t="str">
        <f>IF(B67="","",IF(D67="PV",COUNTIFS('Part Routes'!$B:$B,B67,'Part Routes'!$I:$I,""),IF(D67="HE",COUNTIFS('Part Routes'!$B:$B,B67,'Part Routes'!$J:$J,""),COUNTIFS('Part Routes'!$B:$B,B67,'Part Routes'!$I:$I,"")+COUNTIFS('Part Routes'!$B:$B,B67,'Part Routes'!$J:$J,""))))</f>
        <v/>
      </c>
      <c r="T67" s="10" t="str">
        <f t="shared" si="0"/>
        <v/>
      </c>
    </row>
    <row r="68" spans="1:20" x14ac:dyDescent="0.3">
      <c r="A68" s="9"/>
      <c r="B68" s="9"/>
      <c r="C68" s="9"/>
      <c r="D68" s="9"/>
      <c r="E68" s="9"/>
      <c r="F68" s="9"/>
      <c r="G68" s="9"/>
      <c r="H68" s="9"/>
      <c r="I68" s="9"/>
      <c r="J68" s="9"/>
      <c r="K68" s="9"/>
      <c r="L68" s="9"/>
      <c r="M68" s="9"/>
      <c r="N68" s="9"/>
      <c r="O68" s="9"/>
      <c r="P68" s="9"/>
      <c r="Q68" s="9"/>
      <c r="R68" s="10" t="str">
        <f>IF(B68="","",COUNTIF('Part Routes'!$B:$B,B68))</f>
        <v/>
      </c>
      <c r="S68" s="10" t="str">
        <f>IF(B68="","",IF(D68="PV",COUNTIFS('Part Routes'!$B:$B,B68,'Part Routes'!$I:$I,""),IF(D68="HE",COUNTIFS('Part Routes'!$B:$B,B68,'Part Routes'!$J:$J,""),COUNTIFS('Part Routes'!$B:$B,B68,'Part Routes'!$I:$I,"")+COUNTIFS('Part Routes'!$B:$B,B68,'Part Routes'!$J:$J,""))))</f>
        <v/>
      </c>
      <c r="T68" s="10" t="str">
        <f t="shared" si="0"/>
        <v/>
      </c>
    </row>
    <row r="69" spans="1:20" x14ac:dyDescent="0.3">
      <c r="A69" s="9"/>
      <c r="B69" s="9"/>
      <c r="C69" s="9"/>
      <c r="D69" s="9"/>
      <c r="E69" s="9"/>
      <c r="F69" s="9"/>
      <c r="G69" s="9"/>
      <c r="H69" s="9"/>
      <c r="I69" s="9"/>
      <c r="J69" s="9"/>
      <c r="K69" s="9"/>
      <c r="L69" s="9"/>
      <c r="M69" s="9"/>
      <c r="N69" s="9"/>
      <c r="O69" s="9"/>
      <c r="P69" s="9"/>
      <c r="Q69" s="9"/>
      <c r="R69" s="10" t="str">
        <f>IF(B69="","",COUNTIF('Part Routes'!$B:$B,B69))</f>
        <v/>
      </c>
      <c r="S69" s="10" t="str">
        <f>IF(B69="","",IF(D69="PV",COUNTIFS('Part Routes'!$B:$B,B69,'Part Routes'!$I:$I,""),IF(D69="HE",COUNTIFS('Part Routes'!$B:$B,B69,'Part Routes'!$J:$J,""),COUNTIFS('Part Routes'!$B:$B,B69,'Part Routes'!$I:$I,"")+COUNTIFS('Part Routes'!$B:$B,B69,'Part Routes'!$J:$J,""))))</f>
        <v/>
      </c>
      <c r="T69" s="10" t="str">
        <f t="shared" ref="T69:T132" si="2">IF(B69="","",IF(M69="Assumed – to be confirmed",R69,0))</f>
        <v/>
      </c>
    </row>
    <row r="70" spans="1:20" x14ac:dyDescent="0.3">
      <c r="A70" s="9"/>
      <c r="B70" s="9"/>
      <c r="C70" s="9"/>
      <c r="D70" s="9"/>
      <c r="E70" s="9"/>
      <c r="F70" s="9"/>
      <c r="G70" s="9"/>
      <c r="H70" s="9"/>
      <c r="I70" s="9"/>
      <c r="J70" s="9"/>
      <c r="K70" s="9"/>
      <c r="L70" s="9"/>
      <c r="M70" s="9"/>
      <c r="N70" s="9"/>
      <c r="O70" s="9"/>
      <c r="P70" s="9"/>
      <c r="Q70" s="9"/>
      <c r="R70" s="10" t="str">
        <f>IF(B70="","",COUNTIF('Part Routes'!$B:$B,B70))</f>
        <v/>
      </c>
      <c r="S70" s="10" t="str">
        <f>IF(B70="","",IF(D70="PV",COUNTIFS('Part Routes'!$B:$B,B70,'Part Routes'!$I:$I,""),IF(D70="HE",COUNTIFS('Part Routes'!$B:$B,B70,'Part Routes'!$J:$J,""),COUNTIFS('Part Routes'!$B:$B,B70,'Part Routes'!$I:$I,"")+COUNTIFS('Part Routes'!$B:$B,B70,'Part Routes'!$J:$J,""))))</f>
        <v/>
      </c>
      <c r="T70" s="10" t="str">
        <f t="shared" si="2"/>
        <v/>
      </c>
    </row>
    <row r="71" spans="1:20" x14ac:dyDescent="0.3">
      <c r="A71" s="9"/>
      <c r="B71" s="9"/>
      <c r="C71" s="9"/>
      <c r="D71" s="9"/>
      <c r="E71" s="9"/>
      <c r="F71" s="9"/>
      <c r="G71" s="9"/>
      <c r="H71" s="9"/>
      <c r="I71" s="9"/>
      <c r="J71" s="9"/>
      <c r="K71" s="9"/>
      <c r="L71" s="9"/>
      <c r="M71" s="9"/>
      <c r="N71" s="9"/>
      <c r="O71" s="9"/>
      <c r="P71" s="9"/>
      <c r="Q71" s="9"/>
      <c r="R71" s="10" t="str">
        <f>IF(B71="","",COUNTIF('Part Routes'!$B:$B,B71))</f>
        <v/>
      </c>
      <c r="S71" s="10" t="str">
        <f>IF(B71="","",IF(D71="PV",COUNTIFS('Part Routes'!$B:$B,B71,'Part Routes'!$I:$I,""),IF(D71="HE",COUNTIFS('Part Routes'!$B:$B,B71,'Part Routes'!$J:$J,""),COUNTIFS('Part Routes'!$B:$B,B71,'Part Routes'!$I:$I,"")+COUNTIFS('Part Routes'!$B:$B,B71,'Part Routes'!$J:$J,""))))</f>
        <v/>
      </c>
      <c r="T71" s="10" t="str">
        <f t="shared" si="2"/>
        <v/>
      </c>
    </row>
    <row r="72" spans="1:20" x14ac:dyDescent="0.3">
      <c r="A72" s="9"/>
      <c r="B72" s="9"/>
      <c r="C72" s="9"/>
      <c r="D72" s="9"/>
      <c r="E72" s="9"/>
      <c r="F72" s="9"/>
      <c r="G72" s="9"/>
      <c r="H72" s="9"/>
      <c r="I72" s="9"/>
      <c r="J72" s="9"/>
      <c r="K72" s="9"/>
      <c r="L72" s="9"/>
      <c r="M72" s="9"/>
      <c r="N72" s="9"/>
      <c r="O72" s="9"/>
      <c r="P72" s="9"/>
      <c r="Q72" s="9"/>
      <c r="R72" s="10" t="str">
        <f>IF(B72="","",COUNTIF('Part Routes'!$B:$B,B72))</f>
        <v/>
      </c>
      <c r="S72" s="10" t="str">
        <f>IF(B72="","",IF(D72="PV",COUNTIFS('Part Routes'!$B:$B,B72,'Part Routes'!$I:$I,""),IF(D72="HE",COUNTIFS('Part Routes'!$B:$B,B72,'Part Routes'!$J:$J,""),COUNTIFS('Part Routes'!$B:$B,B72,'Part Routes'!$I:$I,"")+COUNTIFS('Part Routes'!$B:$B,B72,'Part Routes'!$J:$J,""))))</f>
        <v/>
      </c>
      <c r="T72" s="10" t="str">
        <f t="shared" si="2"/>
        <v/>
      </c>
    </row>
    <row r="73" spans="1:20" x14ac:dyDescent="0.3">
      <c r="A73" s="9"/>
      <c r="B73" s="9"/>
      <c r="C73" s="9"/>
      <c r="D73" s="9"/>
      <c r="E73" s="9"/>
      <c r="F73" s="9"/>
      <c r="G73" s="9"/>
      <c r="H73" s="9"/>
      <c r="I73" s="9"/>
      <c r="J73" s="9"/>
      <c r="K73" s="9"/>
      <c r="L73" s="9"/>
      <c r="M73" s="9"/>
      <c r="N73" s="9"/>
      <c r="O73" s="9"/>
      <c r="P73" s="9"/>
      <c r="Q73" s="9"/>
      <c r="R73" s="10" t="str">
        <f>IF(B73="","",COUNTIF('Part Routes'!$B:$B,B73))</f>
        <v/>
      </c>
      <c r="S73" s="10" t="str">
        <f>IF(B73="","",IF(D73="PV",COUNTIFS('Part Routes'!$B:$B,B73,'Part Routes'!$I:$I,""),IF(D73="HE",COUNTIFS('Part Routes'!$B:$B,B73,'Part Routes'!$J:$J,""),COUNTIFS('Part Routes'!$B:$B,B73,'Part Routes'!$I:$I,"")+COUNTIFS('Part Routes'!$B:$B,B73,'Part Routes'!$J:$J,""))))</f>
        <v/>
      </c>
      <c r="T73" s="10" t="str">
        <f t="shared" si="2"/>
        <v/>
      </c>
    </row>
    <row r="74" spans="1:20" x14ac:dyDescent="0.3">
      <c r="A74" s="9"/>
      <c r="B74" s="9"/>
      <c r="C74" s="9"/>
      <c r="D74" s="9"/>
      <c r="E74" s="9"/>
      <c r="F74" s="9"/>
      <c r="G74" s="9"/>
      <c r="H74" s="9"/>
      <c r="I74" s="9"/>
      <c r="J74" s="9"/>
      <c r="K74" s="9"/>
      <c r="L74" s="9"/>
      <c r="M74" s="9"/>
      <c r="N74" s="9"/>
      <c r="O74" s="9"/>
      <c r="P74" s="9"/>
      <c r="Q74" s="9"/>
      <c r="R74" s="10" t="str">
        <f>IF(B74="","",COUNTIF('Part Routes'!$B:$B,B74))</f>
        <v/>
      </c>
      <c r="S74" s="10" t="str">
        <f>IF(B74="","",IF(D74="PV",COUNTIFS('Part Routes'!$B:$B,B74,'Part Routes'!$I:$I,""),IF(D74="HE",COUNTIFS('Part Routes'!$B:$B,B74,'Part Routes'!$J:$J,""),COUNTIFS('Part Routes'!$B:$B,B74,'Part Routes'!$I:$I,"")+COUNTIFS('Part Routes'!$B:$B,B74,'Part Routes'!$J:$J,""))))</f>
        <v/>
      </c>
      <c r="T74" s="10" t="str">
        <f t="shared" si="2"/>
        <v/>
      </c>
    </row>
    <row r="75" spans="1:20" x14ac:dyDescent="0.3">
      <c r="A75" s="9"/>
      <c r="B75" s="9"/>
      <c r="C75" s="9"/>
      <c r="D75" s="9"/>
      <c r="E75" s="9"/>
      <c r="F75" s="9"/>
      <c r="G75" s="9"/>
      <c r="H75" s="9"/>
      <c r="I75" s="9"/>
      <c r="J75" s="9"/>
      <c r="K75" s="9"/>
      <c r="L75" s="9"/>
      <c r="M75" s="9"/>
      <c r="N75" s="9"/>
      <c r="O75" s="9"/>
      <c r="P75" s="9"/>
      <c r="Q75" s="9"/>
      <c r="R75" s="10" t="str">
        <f>IF(B75="","",COUNTIF('Part Routes'!$B:$B,B75))</f>
        <v/>
      </c>
      <c r="S75" s="10" t="str">
        <f>IF(B75="","",IF(D75="PV",COUNTIFS('Part Routes'!$B:$B,B75,'Part Routes'!$I:$I,""),IF(D75="HE",COUNTIFS('Part Routes'!$B:$B,B75,'Part Routes'!$J:$J,""),COUNTIFS('Part Routes'!$B:$B,B75,'Part Routes'!$I:$I,"")+COUNTIFS('Part Routes'!$B:$B,B75,'Part Routes'!$J:$J,""))))</f>
        <v/>
      </c>
      <c r="T75" s="10" t="str">
        <f t="shared" si="2"/>
        <v/>
      </c>
    </row>
    <row r="76" spans="1:20" x14ac:dyDescent="0.3">
      <c r="A76" s="9"/>
      <c r="B76" s="9"/>
      <c r="C76" s="9"/>
      <c r="D76" s="9"/>
      <c r="E76" s="9"/>
      <c r="F76" s="9"/>
      <c r="G76" s="9"/>
      <c r="H76" s="9"/>
      <c r="I76" s="9"/>
      <c r="J76" s="9"/>
      <c r="K76" s="9"/>
      <c r="L76" s="9"/>
      <c r="M76" s="9"/>
      <c r="N76" s="9"/>
      <c r="O76" s="9"/>
      <c r="P76" s="9"/>
      <c r="Q76" s="9"/>
      <c r="R76" s="10" t="str">
        <f>IF(B76="","",COUNTIF('Part Routes'!$B:$B,B76))</f>
        <v/>
      </c>
      <c r="S76" s="10" t="str">
        <f>IF(B76="","",IF(D76="PV",COUNTIFS('Part Routes'!$B:$B,B76,'Part Routes'!$I:$I,""),IF(D76="HE",COUNTIFS('Part Routes'!$B:$B,B76,'Part Routes'!$J:$J,""),COUNTIFS('Part Routes'!$B:$B,B76,'Part Routes'!$I:$I,"")+COUNTIFS('Part Routes'!$B:$B,B76,'Part Routes'!$J:$J,""))))</f>
        <v/>
      </c>
      <c r="T76" s="10" t="str">
        <f t="shared" si="2"/>
        <v/>
      </c>
    </row>
    <row r="77" spans="1:20" x14ac:dyDescent="0.3">
      <c r="A77" s="9"/>
      <c r="B77" s="9"/>
      <c r="C77" s="9"/>
      <c r="D77" s="9"/>
      <c r="E77" s="9"/>
      <c r="F77" s="9"/>
      <c r="G77" s="9"/>
      <c r="H77" s="9"/>
      <c r="I77" s="9"/>
      <c r="J77" s="9"/>
      <c r="K77" s="9"/>
      <c r="L77" s="9"/>
      <c r="M77" s="9"/>
      <c r="N77" s="9"/>
      <c r="O77" s="9"/>
      <c r="P77" s="9"/>
      <c r="Q77" s="9"/>
      <c r="R77" s="10" t="str">
        <f>IF(B77="","",COUNTIF('Part Routes'!$B:$B,B77))</f>
        <v/>
      </c>
      <c r="S77" s="10" t="str">
        <f>IF(B77="","",IF(D77="PV",COUNTIFS('Part Routes'!$B:$B,B77,'Part Routes'!$I:$I,""),IF(D77="HE",COUNTIFS('Part Routes'!$B:$B,B77,'Part Routes'!$J:$J,""),COUNTIFS('Part Routes'!$B:$B,B77,'Part Routes'!$I:$I,"")+COUNTIFS('Part Routes'!$B:$B,B77,'Part Routes'!$J:$J,""))))</f>
        <v/>
      </c>
      <c r="T77" s="10" t="str">
        <f t="shared" si="2"/>
        <v/>
      </c>
    </row>
    <row r="78" spans="1:20" x14ac:dyDescent="0.3">
      <c r="A78" s="9"/>
      <c r="B78" s="9"/>
      <c r="C78" s="9"/>
      <c r="D78" s="9"/>
      <c r="E78" s="9"/>
      <c r="F78" s="9"/>
      <c r="G78" s="9"/>
      <c r="H78" s="9"/>
      <c r="I78" s="9"/>
      <c r="J78" s="9"/>
      <c r="K78" s="9"/>
      <c r="L78" s="9"/>
      <c r="M78" s="9"/>
      <c r="N78" s="9"/>
      <c r="O78" s="9"/>
      <c r="P78" s="9"/>
      <c r="Q78" s="9"/>
      <c r="R78" s="10" t="str">
        <f>IF(B78="","",COUNTIF('Part Routes'!$B:$B,B78))</f>
        <v/>
      </c>
      <c r="S78" s="10" t="str">
        <f>IF(B78="","",IF(D78="PV",COUNTIFS('Part Routes'!$B:$B,B78,'Part Routes'!$I:$I,""),IF(D78="HE",COUNTIFS('Part Routes'!$B:$B,B78,'Part Routes'!$J:$J,""),COUNTIFS('Part Routes'!$B:$B,B78,'Part Routes'!$I:$I,"")+COUNTIFS('Part Routes'!$B:$B,B78,'Part Routes'!$J:$J,""))))</f>
        <v/>
      </c>
      <c r="T78" s="10" t="str">
        <f t="shared" si="2"/>
        <v/>
      </c>
    </row>
    <row r="79" spans="1:20" x14ac:dyDescent="0.3">
      <c r="A79" s="9"/>
      <c r="B79" s="9"/>
      <c r="C79" s="9"/>
      <c r="D79" s="9"/>
      <c r="E79" s="9"/>
      <c r="F79" s="9"/>
      <c r="G79" s="9"/>
      <c r="H79" s="9"/>
      <c r="I79" s="9"/>
      <c r="J79" s="9"/>
      <c r="K79" s="9"/>
      <c r="L79" s="9"/>
      <c r="M79" s="9"/>
      <c r="N79" s="9"/>
      <c r="O79" s="9"/>
      <c r="P79" s="9"/>
      <c r="Q79" s="9"/>
      <c r="R79" s="10" t="str">
        <f>IF(B79="","",COUNTIF('Part Routes'!$B:$B,B79))</f>
        <v/>
      </c>
      <c r="S79" s="10" t="str">
        <f>IF(B79="","",IF(D79="PV",COUNTIFS('Part Routes'!$B:$B,B79,'Part Routes'!$I:$I,""),IF(D79="HE",COUNTIFS('Part Routes'!$B:$B,B79,'Part Routes'!$J:$J,""),COUNTIFS('Part Routes'!$B:$B,B79,'Part Routes'!$I:$I,"")+COUNTIFS('Part Routes'!$B:$B,B79,'Part Routes'!$J:$J,""))))</f>
        <v/>
      </c>
      <c r="T79" s="10" t="str">
        <f t="shared" si="2"/>
        <v/>
      </c>
    </row>
    <row r="80" spans="1:20" x14ac:dyDescent="0.3">
      <c r="A80" s="9"/>
      <c r="B80" s="9"/>
      <c r="C80" s="9"/>
      <c r="D80" s="9"/>
      <c r="E80" s="9"/>
      <c r="F80" s="9"/>
      <c r="G80" s="9"/>
      <c r="H80" s="9"/>
      <c r="I80" s="9"/>
      <c r="J80" s="9"/>
      <c r="K80" s="9"/>
      <c r="L80" s="9"/>
      <c r="M80" s="9"/>
      <c r="N80" s="9"/>
      <c r="O80" s="9"/>
      <c r="P80" s="9"/>
      <c r="Q80" s="9"/>
      <c r="R80" s="10" t="str">
        <f>IF(B80="","",COUNTIF('Part Routes'!$B:$B,B80))</f>
        <v/>
      </c>
      <c r="S80" s="10" t="str">
        <f>IF(B80="","",IF(D80="PV",COUNTIFS('Part Routes'!$B:$B,B80,'Part Routes'!$I:$I,""),IF(D80="HE",COUNTIFS('Part Routes'!$B:$B,B80,'Part Routes'!$J:$J,""),COUNTIFS('Part Routes'!$B:$B,B80,'Part Routes'!$I:$I,"")+COUNTIFS('Part Routes'!$B:$B,B80,'Part Routes'!$J:$J,""))))</f>
        <v/>
      </c>
      <c r="T80" s="10" t="str">
        <f t="shared" si="2"/>
        <v/>
      </c>
    </row>
    <row r="81" spans="1:20" x14ac:dyDescent="0.3">
      <c r="A81" s="9"/>
      <c r="B81" s="9"/>
      <c r="C81" s="9"/>
      <c r="D81" s="9"/>
      <c r="E81" s="9"/>
      <c r="F81" s="9"/>
      <c r="G81" s="9"/>
      <c r="H81" s="9"/>
      <c r="I81" s="9"/>
      <c r="J81" s="9"/>
      <c r="K81" s="9"/>
      <c r="L81" s="9"/>
      <c r="M81" s="9"/>
      <c r="N81" s="9"/>
      <c r="O81" s="9"/>
      <c r="P81" s="9"/>
      <c r="Q81" s="9"/>
      <c r="R81" s="10" t="str">
        <f>IF(B81="","",COUNTIF('Part Routes'!$B:$B,B81))</f>
        <v/>
      </c>
      <c r="S81" s="10" t="str">
        <f>IF(B81="","",IF(D81="PV",COUNTIFS('Part Routes'!$B:$B,B81,'Part Routes'!$I:$I,""),IF(D81="HE",COUNTIFS('Part Routes'!$B:$B,B81,'Part Routes'!$J:$J,""),COUNTIFS('Part Routes'!$B:$B,B81,'Part Routes'!$I:$I,"")+COUNTIFS('Part Routes'!$B:$B,B81,'Part Routes'!$J:$J,""))))</f>
        <v/>
      </c>
      <c r="T81" s="10" t="str">
        <f t="shared" si="2"/>
        <v/>
      </c>
    </row>
    <row r="82" spans="1:20" x14ac:dyDescent="0.3">
      <c r="A82" s="9"/>
      <c r="B82" s="9"/>
      <c r="C82" s="9"/>
      <c r="D82" s="9"/>
      <c r="E82" s="9"/>
      <c r="F82" s="9"/>
      <c r="G82" s="9"/>
      <c r="H82" s="9"/>
      <c r="I82" s="9"/>
      <c r="J82" s="9"/>
      <c r="K82" s="9"/>
      <c r="L82" s="9"/>
      <c r="M82" s="9"/>
      <c r="N82" s="9"/>
      <c r="O82" s="9"/>
      <c r="P82" s="9"/>
      <c r="Q82" s="9"/>
      <c r="R82" s="10" t="str">
        <f>IF(B82="","",COUNTIF('Part Routes'!$B:$B,B82))</f>
        <v/>
      </c>
      <c r="S82" s="10" t="str">
        <f>IF(B82="","",IF(D82="PV",COUNTIFS('Part Routes'!$B:$B,B82,'Part Routes'!$I:$I,""),IF(D82="HE",COUNTIFS('Part Routes'!$B:$B,B82,'Part Routes'!$J:$J,""),COUNTIFS('Part Routes'!$B:$B,B82,'Part Routes'!$I:$I,"")+COUNTIFS('Part Routes'!$B:$B,B82,'Part Routes'!$J:$J,""))))</f>
        <v/>
      </c>
      <c r="T82" s="10" t="str">
        <f t="shared" si="2"/>
        <v/>
      </c>
    </row>
    <row r="83" spans="1:20" x14ac:dyDescent="0.3">
      <c r="A83" s="9"/>
      <c r="B83" s="9"/>
      <c r="C83" s="9"/>
      <c r="D83" s="9"/>
      <c r="E83" s="9"/>
      <c r="F83" s="9"/>
      <c r="G83" s="9"/>
      <c r="H83" s="9"/>
      <c r="I83" s="9"/>
      <c r="J83" s="9"/>
      <c r="K83" s="9"/>
      <c r="L83" s="9"/>
      <c r="M83" s="9"/>
      <c r="N83" s="9"/>
      <c r="O83" s="9"/>
      <c r="P83" s="9"/>
      <c r="Q83" s="9"/>
      <c r="R83" s="10" t="str">
        <f>IF(B83="","",COUNTIF('Part Routes'!$B:$B,B83))</f>
        <v/>
      </c>
      <c r="S83" s="10" t="str">
        <f>IF(B83="","",IF(D83="PV",COUNTIFS('Part Routes'!$B:$B,B83,'Part Routes'!$I:$I,""),IF(D83="HE",COUNTIFS('Part Routes'!$B:$B,B83,'Part Routes'!$J:$J,""),COUNTIFS('Part Routes'!$B:$B,B83,'Part Routes'!$I:$I,"")+COUNTIFS('Part Routes'!$B:$B,B83,'Part Routes'!$J:$J,""))))</f>
        <v/>
      </c>
      <c r="T83" s="10" t="str">
        <f t="shared" si="2"/>
        <v/>
      </c>
    </row>
    <row r="84" spans="1:20" x14ac:dyDescent="0.3">
      <c r="A84" s="9"/>
      <c r="B84" s="9"/>
      <c r="C84" s="9"/>
      <c r="D84" s="9"/>
      <c r="E84" s="9"/>
      <c r="F84" s="9"/>
      <c r="G84" s="9"/>
      <c r="H84" s="9"/>
      <c r="I84" s="9"/>
      <c r="J84" s="9"/>
      <c r="K84" s="9"/>
      <c r="L84" s="9"/>
      <c r="M84" s="9"/>
      <c r="N84" s="9"/>
      <c r="O84" s="9"/>
      <c r="P84" s="9"/>
      <c r="Q84" s="9"/>
      <c r="R84" s="10" t="str">
        <f>IF(B84="","",COUNTIF('Part Routes'!$B:$B,B84))</f>
        <v/>
      </c>
      <c r="S84" s="10" t="str">
        <f>IF(B84="","",IF(D84="PV",COUNTIFS('Part Routes'!$B:$B,B84,'Part Routes'!$I:$I,""),IF(D84="HE",COUNTIFS('Part Routes'!$B:$B,B84,'Part Routes'!$J:$J,""),COUNTIFS('Part Routes'!$B:$B,B84,'Part Routes'!$I:$I,"")+COUNTIFS('Part Routes'!$B:$B,B84,'Part Routes'!$J:$J,""))))</f>
        <v/>
      </c>
      <c r="T84" s="10" t="str">
        <f t="shared" si="2"/>
        <v/>
      </c>
    </row>
    <row r="85" spans="1:20" x14ac:dyDescent="0.3">
      <c r="A85" s="9"/>
      <c r="B85" s="9"/>
      <c r="C85" s="9"/>
      <c r="D85" s="9"/>
      <c r="E85" s="9"/>
      <c r="F85" s="9"/>
      <c r="G85" s="9"/>
      <c r="H85" s="9"/>
      <c r="I85" s="9"/>
      <c r="J85" s="9"/>
      <c r="K85" s="9"/>
      <c r="L85" s="9"/>
      <c r="M85" s="9"/>
      <c r="N85" s="9"/>
      <c r="O85" s="9"/>
      <c r="P85" s="9"/>
      <c r="Q85" s="9"/>
      <c r="R85" s="10" t="str">
        <f>IF(B85="","",COUNTIF('Part Routes'!$B:$B,B85))</f>
        <v/>
      </c>
      <c r="S85" s="10" t="str">
        <f>IF(B85="","",IF(D85="PV",COUNTIFS('Part Routes'!$B:$B,B85,'Part Routes'!$I:$I,""),IF(D85="HE",COUNTIFS('Part Routes'!$B:$B,B85,'Part Routes'!$J:$J,""),COUNTIFS('Part Routes'!$B:$B,B85,'Part Routes'!$I:$I,"")+COUNTIFS('Part Routes'!$B:$B,B85,'Part Routes'!$J:$J,""))))</f>
        <v/>
      </c>
      <c r="T85" s="10" t="str">
        <f t="shared" si="2"/>
        <v/>
      </c>
    </row>
    <row r="86" spans="1:20" x14ac:dyDescent="0.3">
      <c r="A86" s="9"/>
      <c r="B86" s="9"/>
      <c r="C86" s="9"/>
      <c r="D86" s="9"/>
      <c r="E86" s="9"/>
      <c r="F86" s="9"/>
      <c r="G86" s="9"/>
      <c r="H86" s="9"/>
      <c r="I86" s="9"/>
      <c r="J86" s="9"/>
      <c r="K86" s="9"/>
      <c r="L86" s="9"/>
      <c r="M86" s="9"/>
      <c r="N86" s="9"/>
      <c r="O86" s="9"/>
      <c r="P86" s="9"/>
      <c r="Q86" s="9"/>
      <c r="R86" s="10" t="str">
        <f>IF(B86="","",COUNTIF('Part Routes'!$B:$B,B86))</f>
        <v/>
      </c>
      <c r="S86" s="10" t="str">
        <f>IF(B86="","",IF(D86="PV",COUNTIFS('Part Routes'!$B:$B,B86,'Part Routes'!$I:$I,""),IF(D86="HE",COUNTIFS('Part Routes'!$B:$B,B86,'Part Routes'!$J:$J,""),COUNTIFS('Part Routes'!$B:$B,B86,'Part Routes'!$I:$I,"")+COUNTIFS('Part Routes'!$B:$B,B86,'Part Routes'!$J:$J,""))))</f>
        <v/>
      </c>
      <c r="T86" s="10" t="str">
        <f t="shared" si="2"/>
        <v/>
      </c>
    </row>
    <row r="87" spans="1:20" x14ac:dyDescent="0.3">
      <c r="A87" s="9"/>
      <c r="B87" s="9"/>
      <c r="C87" s="9"/>
      <c r="D87" s="9"/>
      <c r="E87" s="9"/>
      <c r="F87" s="9"/>
      <c r="G87" s="9"/>
      <c r="H87" s="9"/>
      <c r="I87" s="9"/>
      <c r="J87" s="9"/>
      <c r="K87" s="9"/>
      <c r="L87" s="9"/>
      <c r="M87" s="9"/>
      <c r="N87" s="9"/>
      <c r="O87" s="9"/>
      <c r="P87" s="9"/>
      <c r="Q87" s="9"/>
      <c r="R87" s="10" t="str">
        <f>IF(B87="","",COUNTIF('Part Routes'!$B:$B,B87))</f>
        <v/>
      </c>
      <c r="S87" s="10" t="str">
        <f>IF(B87="","",IF(D87="PV",COUNTIFS('Part Routes'!$B:$B,B87,'Part Routes'!$I:$I,""),IF(D87="HE",COUNTIFS('Part Routes'!$B:$B,B87,'Part Routes'!$J:$J,""),COUNTIFS('Part Routes'!$B:$B,B87,'Part Routes'!$I:$I,"")+COUNTIFS('Part Routes'!$B:$B,B87,'Part Routes'!$J:$J,""))))</f>
        <v/>
      </c>
      <c r="T87" s="10" t="str">
        <f t="shared" si="2"/>
        <v/>
      </c>
    </row>
    <row r="88" spans="1:20" x14ac:dyDescent="0.3">
      <c r="A88" s="9"/>
      <c r="B88" s="9"/>
      <c r="C88" s="9"/>
      <c r="D88" s="9"/>
      <c r="E88" s="9"/>
      <c r="F88" s="9"/>
      <c r="G88" s="9"/>
      <c r="H88" s="9"/>
      <c r="I88" s="9"/>
      <c r="J88" s="9"/>
      <c r="K88" s="9"/>
      <c r="L88" s="9"/>
      <c r="M88" s="9"/>
      <c r="N88" s="9"/>
      <c r="O88" s="9"/>
      <c r="P88" s="9"/>
      <c r="Q88" s="9"/>
      <c r="R88" s="10" t="str">
        <f>IF(B88="","",COUNTIF('Part Routes'!$B:$B,B88))</f>
        <v/>
      </c>
      <c r="S88" s="10" t="str">
        <f>IF(B88="","",IF(D88="PV",COUNTIFS('Part Routes'!$B:$B,B88,'Part Routes'!$I:$I,""),IF(D88="HE",COUNTIFS('Part Routes'!$B:$B,B88,'Part Routes'!$J:$J,""),COUNTIFS('Part Routes'!$B:$B,B88,'Part Routes'!$I:$I,"")+COUNTIFS('Part Routes'!$B:$B,B88,'Part Routes'!$J:$J,""))))</f>
        <v/>
      </c>
      <c r="T88" s="10" t="str">
        <f t="shared" si="2"/>
        <v/>
      </c>
    </row>
    <row r="89" spans="1:20" x14ac:dyDescent="0.3">
      <c r="A89" s="9"/>
      <c r="B89" s="9"/>
      <c r="C89" s="9"/>
      <c r="D89" s="9"/>
      <c r="E89" s="9"/>
      <c r="F89" s="9"/>
      <c r="G89" s="9"/>
      <c r="H89" s="9"/>
      <c r="I89" s="9"/>
      <c r="J89" s="9"/>
      <c r="K89" s="9"/>
      <c r="L89" s="9"/>
      <c r="M89" s="9"/>
      <c r="N89" s="9"/>
      <c r="O89" s="9"/>
      <c r="P89" s="9"/>
      <c r="Q89" s="9"/>
      <c r="R89" s="10" t="str">
        <f>IF(B89="","",COUNTIF('Part Routes'!$B:$B,B89))</f>
        <v/>
      </c>
      <c r="S89" s="10" t="str">
        <f>IF(B89="","",IF(D89="PV",COUNTIFS('Part Routes'!$B:$B,B89,'Part Routes'!$I:$I,""),IF(D89="HE",COUNTIFS('Part Routes'!$B:$B,B89,'Part Routes'!$J:$J,""),COUNTIFS('Part Routes'!$B:$B,B89,'Part Routes'!$I:$I,"")+COUNTIFS('Part Routes'!$B:$B,B89,'Part Routes'!$J:$J,""))))</f>
        <v/>
      </c>
      <c r="T89" s="10" t="str">
        <f t="shared" si="2"/>
        <v/>
      </c>
    </row>
    <row r="90" spans="1:20" x14ac:dyDescent="0.3">
      <c r="A90" s="9"/>
      <c r="B90" s="9"/>
      <c r="C90" s="9"/>
      <c r="D90" s="9"/>
      <c r="E90" s="9"/>
      <c r="F90" s="9"/>
      <c r="G90" s="9"/>
      <c r="H90" s="9"/>
      <c r="I90" s="9"/>
      <c r="J90" s="9"/>
      <c r="K90" s="9"/>
      <c r="L90" s="9"/>
      <c r="M90" s="9"/>
      <c r="N90" s="9"/>
      <c r="O90" s="9"/>
      <c r="P90" s="9"/>
      <c r="Q90" s="9"/>
      <c r="R90" s="10" t="str">
        <f>IF(B90="","",COUNTIF('Part Routes'!$B:$B,B90))</f>
        <v/>
      </c>
      <c r="S90" s="10" t="str">
        <f>IF(B90="","",IF(D90="PV",COUNTIFS('Part Routes'!$B:$B,B90,'Part Routes'!$I:$I,""),IF(D90="HE",COUNTIFS('Part Routes'!$B:$B,B90,'Part Routes'!$J:$J,""),COUNTIFS('Part Routes'!$B:$B,B90,'Part Routes'!$I:$I,"")+COUNTIFS('Part Routes'!$B:$B,B90,'Part Routes'!$J:$J,""))))</f>
        <v/>
      </c>
      <c r="T90" s="10" t="str">
        <f t="shared" si="2"/>
        <v/>
      </c>
    </row>
    <row r="91" spans="1:20" x14ac:dyDescent="0.3">
      <c r="A91" s="9"/>
      <c r="B91" s="9"/>
      <c r="C91" s="9"/>
      <c r="D91" s="9"/>
      <c r="E91" s="9"/>
      <c r="F91" s="9"/>
      <c r="G91" s="9"/>
      <c r="H91" s="9"/>
      <c r="I91" s="9"/>
      <c r="J91" s="9"/>
      <c r="K91" s="9"/>
      <c r="L91" s="9"/>
      <c r="M91" s="9"/>
      <c r="N91" s="9"/>
      <c r="O91" s="9"/>
      <c r="P91" s="9"/>
      <c r="Q91" s="9"/>
      <c r="R91" s="10" t="str">
        <f>IF(B91="","",COUNTIF('Part Routes'!$B:$B,B91))</f>
        <v/>
      </c>
      <c r="S91" s="10" t="str">
        <f>IF(B91="","",IF(D91="PV",COUNTIFS('Part Routes'!$B:$B,B91,'Part Routes'!$I:$I,""),IF(D91="HE",COUNTIFS('Part Routes'!$B:$B,B91,'Part Routes'!$J:$J,""),COUNTIFS('Part Routes'!$B:$B,B91,'Part Routes'!$I:$I,"")+COUNTIFS('Part Routes'!$B:$B,B91,'Part Routes'!$J:$J,""))))</f>
        <v/>
      </c>
      <c r="T91" s="10" t="str">
        <f t="shared" si="2"/>
        <v/>
      </c>
    </row>
    <row r="92" spans="1:20" x14ac:dyDescent="0.3">
      <c r="A92" s="9"/>
      <c r="B92" s="9"/>
      <c r="C92" s="9"/>
      <c r="D92" s="9"/>
      <c r="E92" s="9"/>
      <c r="F92" s="9"/>
      <c r="G92" s="9"/>
      <c r="H92" s="9"/>
      <c r="I92" s="9"/>
      <c r="J92" s="9"/>
      <c r="K92" s="9"/>
      <c r="L92" s="9"/>
      <c r="M92" s="9"/>
      <c r="N92" s="9"/>
      <c r="O92" s="9"/>
      <c r="P92" s="9"/>
      <c r="Q92" s="9"/>
      <c r="R92" s="10" t="str">
        <f>IF(B92="","",COUNTIF('Part Routes'!$B:$B,B92))</f>
        <v/>
      </c>
      <c r="S92" s="10" t="str">
        <f>IF(B92="","",IF(D92="PV",COUNTIFS('Part Routes'!$B:$B,B92,'Part Routes'!$I:$I,""),IF(D92="HE",COUNTIFS('Part Routes'!$B:$B,B92,'Part Routes'!$J:$J,""),COUNTIFS('Part Routes'!$B:$B,B92,'Part Routes'!$I:$I,"")+COUNTIFS('Part Routes'!$B:$B,B92,'Part Routes'!$J:$J,""))))</f>
        <v/>
      </c>
      <c r="T92" s="10" t="str">
        <f t="shared" si="2"/>
        <v/>
      </c>
    </row>
    <row r="93" spans="1:20" x14ac:dyDescent="0.3">
      <c r="A93" s="9"/>
      <c r="B93" s="9"/>
      <c r="C93" s="9"/>
      <c r="D93" s="9"/>
      <c r="E93" s="9"/>
      <c r="F93" s="9"/>
      <c r="G93" s="9"/>
      <c r="H93" s="9"/>
      <c r="I93" s="9"/>
      <c r="J93" s="9"/>
      <c r="K93" s="9"/>
      <c r="L93" s="9"/>
      <c r="M93" s="9"/>
      <c r="N93" s="9"/>
      <c r="O93" s="9"/>
      <c r="P93" s="9"/>
      <c r="Q93" s="9"/>
      <c r="R93" s="10" t="str">
        <f>IF(B93="","",COUNTIF('Part Routes'!$B:$B,B93))</f>
        <v/>
      </c>
      <c r="S93" s="10" t="str">
        <f>IF(B93="","",IF(D93="PV",COUNTIFS('Part Routes'!$B:$B,B93,'Part Routes'!$I:$I,""),IF(D93="HE",COUNTIFS('Part Routes'!$B:$B,B93,'Part Routes'!$J:$J,""),COUNTIFS('Part Routes'!$B:$B,B93,'Part Routes'!$I:$I,"")+COUNTIFS('Part Routes'!$B:$B,B93,'Part Routes'!$J:$J,""))))</f>
        <v/>
      </c>
      <c r="T93" s="10" t="str">
        <f t="shared" si="2"/>
        <v/>
      </c>
    </row>
    <row r="94" spans="1:20" x14ac:dyDescent="0.3">
      <c r="A94" s="9"/>
      <c r="B94" s="9"/>
      <c r="C94" s="9"/>
      <c r="D94" s="9"/>
      <c r="E94" s="9"/>
      <c r="F94" s="9"/>
      <c r="G94" s="9"/>
      <c r="H94" s="9"/>
      <c r="I94" s="9"/>
      <c r="J94" s="9"/>
      <c r="K94" s="9"/>
      <c r="L94" s="9"/>
      <c r="M94" s="9"/>
      <c r="N94" s="9"/>
      <c r="O94" s="9"/>
      <c r="P94" s="9"/>
      <c r="Q94" s="9"/>
      <c r="R94" s="10" t="str">
        <f>IF(B94="","",COUNTIF('Part Routes'!$B:$B,B94))</f>
        <v/>
      </c>
      <c r="S94" s="10" t="str">
        <f>IF(B94="","",IF(D94="PV",COUNTIFS('Part Routes'!$B:$B,B94,'Part Routes'!$I:$I,""),IF(D94="HE",COUNTIFS('Part Routes'!$B:$B,B94,'Part Routes'!$J:$J,""),COUNTIFS('Part Routes'!$B:$B,B94,'Part Routes'!$I:$I,"")+COUNTIFS('Part Routes'!$B:$B,B94,'Part Routes'!$J:$J,""))))</f>
        <v/>
      </c>
      <c r="T94" s="10" t="str">
        <f t="shared" si="2"/>
        <v/>
      </c>
    </row>
    <row r="95" spans="1:20" x14ac:dyDescent="0.3">
      <c r="A95" s="9"/>
      <c r="B95" s="9"/>
      <c r="C95" s="9"/>
      <c r="D95" s="9"/>
      <c r="E95" s="9"/>
      <c r="F95" s="9"/>
      <c r="G95" s="9"/>
      <c r="H95" s="9"/>
      <c r="I95" s="9"/>
      <c r="J95" s="9"/>
      <c r="K95" s="9"/>
      <c r="L95" s="9"/>
      <c r="M95" s="9"/>
      <c r="N95" s="9"/>
      <c r="O95" s="9"/>
      <c r="P95" s="9"/>
      <c r="Q95" s="9"/>
      <c r="R95" s="10" t="str">
        <f>IF(B95="","",COUNTIF('Part Routes'!$B:$B,B95))</f>
        <v/>
      </c>
      <c r="S95" s="10" t="str">
        <f>IF(B95="","",IF(D95="PV",COUNTIFS('Part Routes'!$B:$B,B95,'Part Routes'!$I:$I,""),IF(D95="HE",COUNTIFS('Part Routes'!$B:$B,B95,'Part Routes'!$J:$J,""),COUNTIFS('Part Routes'!$B:$B,B95,'Part Routes'!$I:$I,"")+COUNTIFS('Part Routes'!$B:$B,B95,'Part Routes'!$J:$J,""))))</f>
        <v/>
      </c>
      <c r="T95" s="10" t="str">
        <f t="shared" si="2"/>
        <v/>
      </c>
    </row>
    <row r="96" spans="1:20" x14ac:dyDescent="0.3">
      <c r="A96" s="9"/>
      <c r="B96" s="9"/>
      <c r="C96" s="9"/>
      <c r="D96" s="9"/>
      <c r="E96" s="9"/>
      <c r="F96" s="9"/>
      <c r="G96" s="9"/>
      <c r="H96" s="9"/>
      <c r="I96" s="9"/>
      <c r="J96" s="9"/>
      <c r="K96" s="9"/>
      <c r="L96" s="9"/>
      <c r="M96" s="9"/>
      <c r="N96" s="9"/>
      <c r="O96" s="9"/>
      <c r="P96" s="9"/>
      <c r="Q96" s="9"/>
      <c r="R96" s="10" t="str">
        <f>IF(B96="","",COUNTIF('Part Routes'!$B:$B,B96))</f>
        <v/>
      </c>
      <c r="S96" s="10" t="str">
        <f>IF(B96="","",IF(D96="PV",COUNTIFS('Part Routes'!$B:$B,B96,'Part Routes'!$I:$I,""),IF(D96="HE",COUNTIFS('Part Routes'!$B:$B,B96,'Part Routes'!$J:$J,""),COUNTIFS('Part Routes'!$B:$B,B96,'Part Routes'!$I:$I,"")+COUNTIFS('Part Routes'!$B:$B,B96,'Part Routes'!$J:$J,""))))</f>
        <v/>
      </c>
      <c r="T96" s="10" t="str">
        <f t="shared" si="2"/>
        <v/>
      </c>
    </row>
    <row r="97" spans="1:20" x14ac:dyDescent="0.3">
      <c r="A97" s="9"/>
      <c r="B97" s="9"/>
      <c r="C97" s="9"/>
      <c r="D97" s="9"/>
      <c r="E97" s="9"/>
      <c r="F97" s="9"/>
      <c r="G97" s="9"/>
      <c r="H97" s="9"/>
      <c r="I97" s="9"/>
      <c r="J97" s="9"/>
      <c r="K97" s="9"/>
      <c r="L97" s="9"/>
      <c r="M97" s="9"/>
      <c r="N97" s="9"/>
      <c r="O97" s="9"/>
      <c r="P97" s="9"/>
      <c r="Q97" s="9"/>
      <c r="R97" s="10" t="str">
        <f>IF(B97="","",COUNTIF('Part Routes'!$B:$B,B97))</f>
        <v/>
      </c>
      <c r="S97" s="10" t="str">
        <f>IF(B97="","",IF(D97="PV",COUNTIFS('Part Routes'!$B:$B,B97,'Part Routes'!$I:$I,""),IF(D97="HE",COUNTIFS('Part Routes'!$B:$B,B97,'Part Routes'!$J:$J,""),COUNTIFS('Part Routes'!$B:$B,B97,'Part Routes'!$I:$I,"")+COUNTIFS('Part Routes'!$B:$B,B97,'Part Routes'!$J:$J,""))))</f>
        <v/>
      </c>
      <c r="T97" s="10" t="str">
        <f t="shared" si="2"/>
        <v/>
      </c>
    </row>
    <row r="98" spans="1:20" x14ac:dyDescent="0.3">
      <c r="A98" s="9"/>
      <c r="B98" s="9"/>
      <c r="C98" s="9"/>
      <c r="D98" s="9"/>
      <c r="E98" s="9"/>
      <c r="F98" s="9"/>
      <c r="G98" s="9"/>
      <c r="H98" s="9"/>
      <c r="I98" s="9"/>
      <c r="J98" s="9"/>
      <c r="K98" s="9"/>
      <c r="L98" s="9"/>
      <c r="M98" s="9"/>
      <c r="N98" s="9"/>
      <c r="O98" s="9"/>
      <c r="P98" s="9"/>
      <c r="Q98" s="9"/>
      <c r="R98" s="10" t="str">
        <f>IF(B98="","",COUNTIF('Part Routes'!$B:$B,B98))</f>
        <v/>
      </c>
      <c r="S98" s="10" t="str">
        <f>IF(B98="","",IF(D98="PV",COUNTIFS('Part Routes'!$B:$B,B98,'Part Routes'!$I:$I,""),IF(D98="HE",COUNTIFS('Part Routes'!$B:$B,B98,'Part Routes'!$J:$J,""),COUNTIFS('Part Routes'!$B:$B,B98,'Part Routes'!$I:$I,"")+COUNTIFS('Part Routes'!$B:$B,B98,'Part Routes'!$J:$J,""))))</f>
        <v/>
      </c>
      <c r="T98" s="10" t="str">
        <f t="shared" si="2"/>
        <v/>
      </c>
    </row>
    <row r="99" spans="1:20" x14ac:dyDescent="0.3">
      <c r="A99" s="9"/>
      <c r="B99" s="9"/>
      <c r="C99" s="9"/>
      <c r="D99" s="9"/>
      <c r="E99" s="9"/>
      <c r="F99" s="9"/>
      <c r="G99" s="9"/>
      <c r="H99" s="9"/>
      <c r="I99" s="9"/>
      <c r="J99" s="9"/>
      <c r="K99" s="9"/>
      <c r="L99" s="9"/>
      <c r="M99" s="9"/>
      <c r="N99" s="9"/>
      <c r="O99" s="9"/>
      <c r="P99" s="9"/>
      <c r="Q99" s="9"/>
      <c r="R99" s="10" t="str">
        <f>IF(B99="","",COUNTIF('Part Routes'!$B:$B,B99))</f>
        <v/>
      </c>
      <c r="S99" s="10" t="str">
        <f>IF(B99="","",IF(D99="PV",COUNTIFS('Part Routes'!$B:$B,B99,'Part Routes'!$I:$I,""),IF(D99="HE",COUNTIFS('Part Routes'!$B:$B,B99,'Part Routes'!$J:$J,""),COUNTIFS('Part Routes'!$B:$B,B99,'Part Routes'!$I:$I,"")+COUNTIFS('Part Routes'!$B:$B,B99,'Part Routes'!$J:$J,""))))</f>
        <v/>
      </c>
      <c r="T99" s="10" t="str">
        <f t="shared" si="2"/>
        <v/>
      </c>
    </row>
    <row r="100" spans="1:20" x14ac:dyDescent="0.3">
      <c r="A100" s="9"/>
      <c r="B100" s="9"/>
      <c r="C100" s="9"/>
      <c r="D100" s="9"/>
      <c r="E100" s="9"/>
      <c r="F100" s="9"/>
      <c r="G100" s="9"/>
      <c r="H100" s="9"/>
      <c r="I100" s="9"/>
      <c r="J100" s="9"/>
      <c r="K100" s="9"/>
      <c r="L100" s="9"/>
      <c r="M100" s="9"/>
      <c r="N100" s="9"/>
      <c r="O100" s="9"/>
      <c r="P100" s="9"/>
      <c r="Q100" s="9"/>
      <c r="R100" s="10" t="str">
        <f>IF(B100="","",COUNTIF('Part Routes'!$B:$B,B100))</f>
        <v/>
      </c>
      <c r="S100" s="10" t="str">
        <f>IF(B100="","",IF(D100="PV",COUNTIFS('Part Routes'!$B:$B,B100,'Part Routes'!$I:$I,""),IF(D100="HE",COUNTIFS('Part Routes'!$B:$B,B100,'Part Routes'!$J:$J,""),COUNTIFS('Part Routes'!$B:$B,B100,'Part Routes'!$I:$I,"")+COUNTIFS('Part Routes'!$B:$B,B100,'Part Routes'!$J:$J,""))))</f>
        <v/>
      </c>
      <c r="T100" s="10" t="str">
        <f t="shared" si="2"/>
        <v/>
      </c>
    </row>
    <row r="101" spans="1:20" x14ac:dyDescent="0.3">
      <c r="A101" s="9"/>
      <c r="B101" s="9"/>
      <c r="C101" s="9"/>
      <c r="D101" s="9"/>
      <c r="E101" s="9"/>
      <c r="F101" s="9"/>
      <c r="G101" s="9"/>
      <c r="H101" s="9"/>
      <c r="I101" s="9"/>
      <c r="J101" s="9"/>
      <c r="K101" s="9"/>
      <c r="L101" s="9"/>
      <c r="M101" s="9"/>
      <c r="N101" s="9"/>
      <c r="O101" s="9"/>
      <c r="P101" s="9"/>
      <c r="Q101" s="9"/>
      <c r="R101" s="10" t="str">
        <f>IF(B101="","",COUNTIF('Part Routes'!$B:$B,B101))</f>
        <v/>
      </c>
      <c r="S101" s="10" t="str">
        <f>IF(B101="","",IF(D101="PV",COUNTIFS('Part Routes'!$B:$B,B101,'Part Routes'!$I:$I,""),IF(D101="HE",COUNTIFS('Part Routes'!$B:$B,B101,'Part Routes'!$J:$J,""),COUNTIFS('Part Routes'!$B:$B,B101,'Part Routes'!$I:$I,"")+COUNTIFS('Part Routes'!$B:$B,B101,'Part Routes'!$J:$J,""))))</f>
        <v/>
      </c>
      <c r="T101" s="10" t="str">
        <f t="shared" si="2"/>
        <v/>
      </c>
    </row>
    <row r="102" spans="1:20" x14ac:dyDescent="0.3">
      <c r="A102" s="9"/>
      <c r="B102" s="9"/>
      <c r="C102" s="9"/>
      <c r="D102" s="9"/>
      <c r="E102" s="9"/>
      <c r="F102" s="9"/>
      <c r="G102" s="9"/>
      <c r="H102" s="9"/>
      <c r="I102" s="9"/>
      <c r="J102" s="9"/>
      <c r="K102" s="9"/>
      <c r="L102" s="9"/>
      <c r="M102" s="9"/>
      <c r="N102" s="9"/>
      <c r="O102" s="9"/>
      <c r="P102" s="9"/>
      <c r="Q102" s="9"/>
      <c r="R102" s="10" t="str">
        <f>IF(B102="","",COUNTIF('Part Routes'!$B:$B,B102))</f>
        <v/>
      </c>
      <c r="S102" s="10" t="str">
        <f>IF(B102="","",IF(D102="PV",COUNTIFS('Part Routes'!$B:$B,B102,'Part Routes'!$I:$I,""),IF(D102="HE",COUNTIFS('Part Routes'!$B:$B,B102,'Part Routes'!$J:$J,""),COUNTIFS('Part Routes'!$B:$B,B102,'Part Routes'!$I:$I,"")+COUNTIFS('Part Routes'!$B:$B,B102,'Part Routes'!$J:$J,""))))</f>
        <v/>
      </c>
      <c r="T102" s="10" t="str">
        <f t="shared" si="2"/>
        <v/>
      </c>
    </row>
    <row r="103" spans="1:20" x14ac:dyDescent="0.3">
      <c r="A103" s="9"/>
      <c r="B103" s="9"/>
      <c r="C103" s="9"/>
      <c r="D103" s="9"/>
      <c r="E103" s="9"/>
      <c r="F103" s="9"/>
      <c r="G103" s="9"/>
      <c r="H103" s="9"/>
      <c r="I103" s="9"/>
      <c r="J103" s="9"/>
      <c r="K103" s="9"/>
      <c r="L103" s="9"/>
      <c r="M103" s="9"/>
      <c r="N103" s="9"/>
      <c r="O103" s="9"/>
      <c r="P103" s="9"/>
      <c r="Q103" s="9"/>
      <c r="R103" s="10" t="str">
        <f>IF(B103="","",COUNTIF('Part Routes'!$B:$B,B103))</f>
        <v/>
      </c>
      <c r="S103" s="10" t="str">
        <f>IF(B103="","",IF(D103="PV",COUNTIFS('Part Routes'!$B:$B,B103,'Part Routes'!$I:$I,""),IF(D103="HE",COUNTIFS('Part Routes'!$B:$B,B103,'Part Routes'!$J:$J,""),COUNTIFS('Part Routes'!$B:$B,B103,'Part Routes'!$I:$I,"")+COUNTIFS('Part Routes'!$B:$B,B103,'Part Routes'!$J:$J,""))))</f>
        <v/>
      </c>
      <c r="T103" s="10" t="str">
        <f t="shared" si="2"/>
        <v/>
      </c>
    </row>
    <row r="104" spans="1:20" x14ac:dyDescent="0.3">
      <c r="A104" s="9"/>
      <c r="B104" s="9"/>
      <c r="C104" s="9"/>
      <c r="D104" s="9"/>
      <c r="E104" s="9"/>
      <c r="F104" s="9"/>
      <c r="G104" s="9"/>
      <c r="H104" s="9"/>
      <c r="I104" s="9"/>
      <c r="J104" s="9"/>
      <c r="K104" s="9"/>
      <c r="L104" s="9"/>
      <c r="M104" s="9"/>
      <c r="N104" s="9"/>
      <c r="O104" s="9"/>
      <c r="P104" s="9"/>
      <c r="Q104" s="9"/>
      <c r="R104" s="10" t="str">
        <f>IF(B104="","",COUNTIF('Part Routes'!$B:$B,B104))</f>
        <v/>
      </c>
      <c r="S104" s="10" t="str">
        <f>IF(B104="","",IF(D104="PV",COUNTIFS('Part Routes'!$B:$B,B104,'Part Routes'!$I:$I,""),IF(D104="HE",COUNTIFS('Part Routes'!$B:$B,B104,'Part Routes'!$J:$J,""),COUNTIFS('Part Routes'!$B:$B,B104,'Part Routes'!$I:$I,"")+COUNTIFS('Part Routes'!$B:$B,B104,'Part Routes'!$J:$J,""))))</f>
        <v/>
      </c>
      <c r="T104" s="10" t="str">
        <f t="shared" si="2"/>
        <v/>
      </c>
    </row>
    <row r="105" spans="1:20" x14ac:dyDescent="0.3">
      <c r="A105" s="9"/>
      <c r="B105" s="9"/>
      <c r="C105" s="9"/>
      <c r="D105" s="9"/>
      <c r="E105" s="9"/>
      <c r="F105" s="9"/>
      <c r="G105" s="9"/>
      <c r="H105" s="9"/>
      <c r="I105" s="9"/>
      <c r="J105" s="9"/>
      <c r="K105" s="9"/>
      <c r="L105" s="9"/>
      <c r="M105" s="9"/>
      <c r="N105" s="9"/>
      <c r="O105" s="9"/>
      <c r="P105" s="9"/>
      <c r="Q105" s="9"/>
      <c r="R105" s="10" t="str">
        <f>IF(B105="","",COUNTIF('Part Routes'!$B:$B,B105))</f>
        <v/>
      </c>
      <c r="S105" s="10" t="str">
        <f>IF(B105="","",IF(D105="PV",COUNTIFS('Part Routes'!$B:$B,B105,'Part Routes'!$I:$I,""),IF(D105="HE",COUNTIFS('Part Routes'!$B:$B,B105,'Part Routes'!$J:$J,""),COUNTIFS('Part Routes'!$B:$B,B105,'Part Routes'!$I:$I,"")+COUNTIFS('Part Routes'!$B:$B,B105,'Part Routes'!$J:$J,""))))</f>
        <v/>
      </c>
      <c r="T105" s="10" t="str">
        <f t="shared" si="2"/>
        <v/>
      </c>
    </row>
    <row r="106" spans="1:20" x14ac:dyDescent="0.3">
      <c r="A106" s="9"/>
      <c r="B106" s="9"/>
      <c r="C106" s="9"/>
      <c r="D106" s="9"/>
      <c r="E106" s="9"/>
      <c r="F106" s="9"/>
      <c r="G106" s="9"/>
      <c r="H106" s="9"/>
      <c r="I106" s="9"/>
      <c r="J106" s="9"/>
      <c r="K106" s="9"/>
      <c r="L106" s="9"/>
      <c r="M106" s="9"/>
      <c r="N106" s="9"/>
      <c r="O106" s="9"/>
      <c r="P106" s="9"/>
      <c r="Q106" s="9"/>
      <c r="R106" s="10" t="str">
        <f>IF(B106="","",COUNTIF('Part Routes'!$B:$B,B106))</f>
        <v/>
      </c>
      <c r="S106" s="10" t="str">
        <f>IF(B106="","",IF(D106="PV",COUNTIFS('Part Routes'!$B:$B,B106,'Part Routes'!$I:$I,""),IF(D106="HE",COUNTIFS('Part Routes'!$B:$B,B106,'Part Routes'!$J:$J,""),COUNTIFS('Part Routes'!$B:$B,B106,'Part Routes'!$I:$I,"")+COUNTIFS('Part Routes'!$B:$B,B106,'Part Routes'!$J:$J,""))))</f>
        <v/>
      </c>
      <c r="T106" s="10" t="str">
        <f t="shared" si="2"/>
        <v/>
      </c>
    </row>
    <row r="107" spans="1:20" x14ac:dyDescent="0.3">
      <c r="A107" s="9"/>
      <c r="B107" s="9"/>
      <c r="C107" s="9"/>
      <c r="D107" s="9"/>
      <c r="E107" s="9"/>
      <c r="F107" s="9"/>
      <c r="G107" s="9"/>
      <c r="H107" s="9"/>
      <c r="I107" s="9"/>
      <c r="J107" s="9"/>
      <c r="K107" s="9"/>
      <c r="L107" s="9"/>
      <c r="M107" s="9"/>
      <c r="N107" s="9"/>
      <c r="O107" s="9"/>
      <c r="P107" s="9"/>
      <c r="Q107" s="9"/>
      <c r="R107" s="10" t="str">
        <f>IF(B107="","",COUNTIF('Part Routes'!$B:$B,B107))</f>
        <v/>
      </c>
      <c r="S107" s="10" t="str">
        <f>IF(B107="","",IF(D107="PV",COUNTIFS('Part Routes'!$B:$B,B107,'Part Routes'!$I:$I,""),IF(D107="HE",COUNTIFS('Part Routes'!$B:$B,B107,'Part Routes'!$J:$J,""),COUNTIFS('Part Routes'!$B:$B,B107,'Part Routes'!$I:$I,"")+COUNTIFS('Part Routes'!$B:$B,B107,'Part Routes'!$J:$J,""))))</f>
        <v/>
      </c>
      <c r="T107" s="10" t="str">
        <f t="shared" si="2"/>
        <v/>
      </c>
    </row>
    <row r="108" spans="1:20" x14ac:dyDescent="0.3">
      <c r="A108" s="9"/>
      <c r="B108" s="9"/>
      <c r="C108" s="9"/>
      <c r="D108" s="9"/>
      <c r="E108" s="9"/>
      <c r="F108" s="9"/>
      <c r="G108" s="9"/>
      <c r="H108" s="9"/>
      <c r="I108" s="9"/>
      <c r="J108" s="9"/>
      <c r="K108" s="9"/>
      <c r="L108" s="9"/>
      <c r="M108" s="9"/>
      <c r="N108" s="9"/>
      <c r="O108" s="9"/>
      <c r="P108" s="9"/>
      <c r="Q108" s="9"/>
      <c r="R108" s="10" t="str">
        <f>IF(B108="","",COUNTIF('Part Routes'!$B:$B,B108))</f>
        <v/>
      </c>
      <c r="S108" s="10" t="str">
        <f>IF(B108="","",IF(D108="PV",COUNTIFS('Part Routes'!$B:$B,B108,'Part Routes'!$I:$I,""),IF(D108="HE",COUNTIFS('Part Routes'!$B:$B,B108,'Part Routes'!$J:$J,""),COUNTIFS('Part Routes'!$B:$B,B108,'Part Routes'!$I:$I,"")+COUNTIFS('Part Routes'!$B:$B,B108,'Part Routes'!$J:$J,""))))</f>
        <v/>
      </c>
      <c r="T108" s="10" t="str">
        <f t="shared" si="2"/>
        <v/>
      </c>
    </row>
    <row r="109" spans="1:20" x14ac:dyDescent="0.3">
      <c r="A109" s="9"/>
      <c r="B109" s="9"/>
      <c r="C109" s="9"/>
      <c r="D109" s="9"/>
      <c r="E109" s="9"/>
      <c r="F109" s="9"/>
      <c r="G109" s="9"/>
      <c r="H109" s="9"/>
      <c r="I109" s="9"/>
      <c r="J109" s="9"/>
      <c r="K109" s="9"/>
      <c r="L109" s="9"/>
      <c r="M109" s="9"/>
      <c r="N109" s="9"/>
      <c r="O109" s="9"/>
      <c r="P109" s="9"/>
      <c r="Q109" s="9"/>
      <c r="R109" s="10" t="str">
        <f>IF(B109="","",COUNTIF('Part Routes'!$B:$B,B109))</f>
        <v/>
      </c>
      <c r="S109" s="10" t="str">
        <f>IF(B109="","",IF(D109="PV",COUNTIFS('Part Routes'!$B:$B,B109,'Part Routes'!$I:$I,""),IF(D109="HE",COUNTIFS('Part Routes'!$B:$B,B109,'Part Routes'!$J:$J,""),COUNTIFS('Part Routes'!$B:$B,B109,'Part Routes'!$I:$I,"")+COUNTIFS('Part Routes'!$B:$B,B109,'Part Routes'!$J:$J,""))))</f>
        <v/>
      </c>
      <c r="T109" s="10" t="str">
        <f t="shared" si="2"/>
        <v/>
      </c>
    </row>
    <row r="110" spans="1:20" x14ac:dyDescent="0.3">
      <c r="A110" s="9"/>
      <c r="B110" s="9"/>
      <c r="C110" s="9"/>
      <c r="D110" s="9"/>
      <c r="E110" s="9"/>
      <c r="F110" s="9"/>
      <c r="G110" s="9"/>
      <c r="H110" s="9"/>
      <c r="I110" s="9"/>
      <c r="J110" s="9"/>
      <c r="K110" s="9"/>
      <c r="L110" s="9"/>
      <c r="M110" s="9"/>
      <c r="N110" s="9"/>
      <c r="O110" s="9"/>
      <c r="P110" s="9"/>
      <c r="Q110" s="9"/>
      <c r="R110" s="10" t="str">
        <f>IF(B110="","",COUNTIF('Part Routes'!$B:$B,B110))</f>
        <v/>
      </c>
      <c r="S110" s="10" t="str">
        <f>IF(B110="","",IF(D110="PV",COUNTIFS('Part Routes'!$B:$B,B110,'Part Routes'!$I:$I,""),IF(D110="HE",COUNTIFS('Part Routes'!$B:$B,B110,'Part Routes'!$J:$J,""),COUNTIFS('Part Routes'!$B:$B,B110,'Part Routes'!$I:$I,"")+COUNTIFS('Part Routes'!$B:$B,B110,'Part Routes'!$J:$J,""))))</f>
        <v/>
      </c>
      <c r="T110" s="10" t="str">
        <f t="shared" si="2"/>
        <v/>
      </c>
    </row>
    <row r="111" spans="1:20" x14ac:dyDescent="0.3">
      <c r="A111" s="9"/>
      <c r="B111" s="9"/>
      <c r="C111" s="9"/>
      <c r="D111" s="9"/>
      <c r="E111" s="9"/>
      <c r="F111" s="9"/>
      <c r="G111" s="9"/>
      <c r="H111" s="9"/>
      <c r="I111" s="9"/>
      <c r="J111" s="9"/>
      <c r="K111" s="9"/>
      <c r="L111" s="9"/>
      <c r="M111" s="9"/>
      <c r="N111" s="9"/>
      <c r="O111" s="9"/>
      <c r="P111" s="9"/>
      <c r="Q111" s="9"/>
      <c r="R111" s="10" t="str">
        <f>IF(B111="","",COUNTIF('Part Routes'!$B:$B,B111))</f>
        <v/>
      </c>
      <c r="S111" s="10" t="str">
        <f>IF(B111="","",IF(D111="PV",COUNTIFS('Part Routes'!$B:$B,B111,'Part Routes'!$I:$I,""),IF(D111="HE",COUNTIFS('Part Routes'!$B:$B,B111,'Part Routes'!$J:$J,""),COUNTIFS('Part Routes'!$B:$B,B111,'Part Routes'!$I:$I,"")+COUNTIFS('Part Routes'!$B:$B,B111,'Part Routes'!$J:$J,""))))</f>
        <v/>
      </c>
      <c r="T111" s="10" t="str">
        <f t="shared" si="2"/>
        <v/>
      </c>
    </row>
    <row r="112" spans="1:20" x14ac:dyDescent="0.3">
      <c r="A112" s="9"/>
      <c r="B112" s="9"/>
      <c r="C112" s="9"/>
      <c r="D112" s="9"/>
      <c r="E112" s="9"/>
      <c r="F112" s="9"/>
      <c r="G112" s="9"/>
      <c r="H112" s="9"/>
      <c r="I112" s="9"/>
      <c r="J112" s="9"/>
      <c r="K112" s="9"/>
      <c r="L112" s="9"/>
      <c r="M112" s="9"/>
      <c r="N112" s="9"/>
      <c r="O112" s="9"/>
      <c r="P112" s="9"/>
      <c r="Q112" s="9"/>
      <c r="R112" s="10" t="str">
        <f>IF(B112="","",COUNTIF('Part Routes'!$B:$B,B112))</f>
        <v/>
      </c>
      <c r="S112" s="10" t="str">
        <f>IF(B112="","",IF(D112="PV",COUNTIFS('Part Routes'!$B:$B,B112,'Part Routes'!$I:$I,""),IF(D112="HE",COUNTIFS('Part Routes'!$B:$B,B112,'Part Routes'!$J:$J,""),COUNTIFS('Part Routes'!$B:$B,B112,'Part Routes'!$I:$I,"")+COUNTIFS('Part Routes'!$B:$B,B112,'Part Routes'!$J:$J,""))))</f>
        <v/>
      </c>
      <c r="T112" s="10" t="str">
        <f t="shared" si="2"/>
        <v/>
      </c>
    </row>
    <row r="113" spans="1:20" x14ac:dyDescent="0.3">
      <c r="A113" s="9"/>
      <c r="B113" s="9"/>
      <c r="C113" s="9"/>
      <c r="D113" s="9"/>
      <c r="E113" s="9"/>
      <c r="F113" s="9"/>
      <c r="G113" s="9"/>
      <c r="H113" s="9"/>
      <c r="I113" s="9"/>
      <c r="J113" s="9"/>
      <c r="K113" s="9"/>
      <c r="L113" s="9"/>
      <c r="M113" s="9"/>
      <c r="N113" s="9"/>
      <c r="O113" s="9"/>
      <c r="P113" s="9"/>
      <c r="Q113" s="9"/>
      <c r="R113" s="10" t="str">
        <f>IF(B113="","",COUNTIF('Part Routes'!$B:$B,B113))</f>
        <v/>
      </c>
      <c r="S113" s="10" t="str">
        <f>IF(B113="","",IF(D113="PV",COUNTIFS('Part Routes'!$B:$B,B113,'Part Routes'!$I:$I,""),IF(D113="HE",COUNTIFS('Part Routes'!$B:$B,B113,'Part Routes'!$J:$J,""),COUNTIFS('Part Routes'!$B:$B,B113,'Part Routes'!$I:$I,"")+COUNTIFS('Part Routes'!$B:$B,B113,'Part Routes'!$J:$J,""))))</f>
        <v/>
      </c>
      <c r="T113" s="10" t="str">
        <f t="shared" si="2"/>
        <v/>
      </c>
    </row>
    <row r="114" spans="1:20" x14ac:dyDescent="0.3">
      <c r="A114" s="9"/>
      <c r="B114" s="9"/>
      <c r="C114" s="9"/>
      <c r="D114" s="9"/>
      <c r="E114" s="9"/>
      <c r="F114" s="9"/>
      <c r="G114" s="9"/>
      <c r="H114" s="9"/>
      <c r="I114" s="9"/>
      <c r="J114" s="9"/>
      <c r="K114" s="9"/>
      <c r="L114" s="9"/>
      <c r="M114" s="9"/>
      <c r="N114" s="9"/>
      <c r="O114" s="9"/>
      <c r="P114" s="9"/>
      <c r="Q114" s="9"/>
      <c r="R114" s="10" t="str">
        <f>IF(B114="","",COUNTIF('Part Routes'!$B:$B,B114))</f>
        <v/>
      </c>
      <c r="S114" s="10" t="str">
        <f>IF(B114="","",IF(D114="PV",COUNTIFS('Part Routes'!$B:$B,B114,'Part Routes'!$I:$I,""),IF(D114="HE",COUNTIFS('Part Routes'!$B:$B,B114,'Part Routes'!$J:$J,""),COUNTIFS('Part Routes'!$B:$B,B114,'Part Routes'!$I:$I,"")+COUNTIFS('Part Routes'!$B:$B,B114,'Part Routes'!$J:$J,""))))</f>
        <v/>
      </c>
      <c r="T114" s="10" t="str">
        <f t="shared" si="2"/>
        <v/>
      </c>
    </row>
    <row r="115" spans="1:20" x14ac:dyDescent="0.3">
      <c r="A115" s="9"/>
      <c r="B115" s="9"/>
      <c r="C115" s="9"/>
      <c r="D115" s="9"/>
      <c r="E115" s="9"/>
      <c r="F115" s="9"/>
      <c r="G115" s="9"/>
      <c r="H115" s="9"/>
      <c r="I115" s="9"/>
      <c r="J115" s="9"/>
      <c r="K115" s="9"/>
      <c r="L115" s="9"/>
      <c r="M115" s="9"/>
      <c r="N115" s="9"/>
      <c r="O115" s="9"/>
      <c r="P115" s="9"/>
      <c r="Q115" s="9"/>
      <c r="R115" s="10" t="str">
        <f>IF(B115="","",COUNTIF('Part Routes'!$B:$B,B115))</f>
        <v/>
      </c>
      <c r="S115" s="10" t="str">
        <f>IF(B115="","",IF(D115="PV",COUNTIFS('Part Routes'!$B:$B,B115,'Part Routes'!$I:$I,""),IF(D115="HE",COUNTIFS('Part Routes'!$B:$B,B115,'Part Routes'!$J:$J,""),COUNTIFS('Part Routes'!$B:$B,B115,'Part Routes'!$I:$I,"")+COUNTIFS('Part Routes'!$B:$B,B115,'Part Routes'!$J:$J,""))))</f>
        <v/>
      </c>
      <c r="T115" s="10" t="str">
        <f t="shared" si="2"/>
        <v/>
      </c>
    </row>
    <row r="116" spans="1:20" x14ac:dyDescent="0.3">
      <c r="A116" s="9"/>
      <c r="B116" s="9"/>
      <c r="C116" s="9"/>
      <c r="D116" s="9"/>
      <c r="E116" s="9"/>
      <c r="F116" s="9"/>
      <c r="G116" s="9"/>
      <c r="H116" s="9"/>
      <c r="I116" s="9"/>
      <c r="J116" s="9"/>
      <c r="K116" s="9"/>
      <c r="L116" s="9"/>
      <c r="M116" s="9"/>
      <c r="N116" s="9"/>
      <c r="O116" s="9"/>
      <c r="P116" s="9"/>
      <c r="Q116" s="9"/>
      <c r="R116" s="10" t="str">
        <f>IF(B116="","",COUNTIF('Part Routes'!$B:$B,B116))</f>
        <v/>
      </c>
      <c r="S116" s="10" t="str">
        <f>IF(B116="","",IF(D116="PV",COUNTIFS('Part Routes'!$B:$B,B116,'Part Routes'!$I:$I,""),IF(D116="HE",COUNTIFS('Part Routes'!$B:$B,B116,'Part Routes'!$J:$J,""),COUNTIFS('Part Routes'!$B:$B,B116,'Part Routes'!$I:$I,"")+COUNTIFS('Part Routes'!$B:$B,B116,'Part Routes'!$J:$J,""))))</f>
        <v/>
      </c>
      <c r="T116" s="10" t="str">
        <f t="shared" si="2"/>
        <v/>
      </c>
    </row>
    <row r="117" spans="1:20" x14ac:dyDescent="0.3">
      <c r="A117" s="9"/>
      <c r="B117" s="9"/>
      <c r="C117" s="9"/>
      <c r="D117" s="9"/>
      <c r="E117" s="9"/>
      <c r="F117" s="9"/>
      <c r="G117" s="9"/>
      <c r="H117" s="9"/>
      <c r="I117" s="9"/>
      <c r="J117" s="9"/>
      <c r="K117" s="9"/>
      <c r="L117" s="9"/>
      <c r="M117" s="9"/>
      <c r="N117" s="9"/>
      <c r="O117" s="9"/>
      <c r="P117" s="9"/>
      <c r="Q117" s="9"/>
      <c r="R117" s="10" t="str">
        <f>IF(B117="","",COUNTIF('Part Routes'!$B:$B,B117))</f>
        <v/>
      </c>
      <c r="S117" s="10" t="str">
        <f>IF(B117="","",IF(D117="PV",COUNTIFS('Part Routes'!$B:$B,B117,'Part Routes'!$I:$I,""),IF(D117="HE",COUNTIFS('Part Routes'!$B:$B,B117,'Part Routes'!$J:$J,""),COUNTIFS('Part Routes'!$B:$B,B117,'Part Routes'!$I:$I,"")+COUNTIFS('Part Routes'!$B:$B,B117,'Part Routes'!$J:$J,""))))</f>
        <v/>
      </c>
      <c r="T117" s="10" t="str">
        <f t="shared" si="2"/>
        <v/>
      </c>
    </row>
    <row r="118" spans="1:20" x14ac:dyDescent="0.3">
      <c r="A118" s="9"/>
      <c r="B118" s="9"/>
      <c r="C118" s="9"/>
      <c r="D118" s="9"/>
      <c r="E118" s="9"/>
      <c r="F118" s="9"/>
      <c r="G118" s="9"/>
      <c r="H118" s="9"/>
      <c r="I118" s="9"/>
      <c r="J118" s="9"/>
      <c r="K118" s="9"/>
      <c r="L118" s="9"/>
      <c r="M118" s="9"/>
      <c r="N118" s="9"/>
      <c r="O118" s="9"/>
      <c r="P118" s="9"/>
      <c r="Q118" s="9"/>
      <c r="R118" s="10" t="str">
        <f>IF(B118="","",COUNTIF('Part Routes'!$B:$B,B118))</f>
        <v/>
      </c>
      <c r="S118" s="10" t="str">
        <f>IF(B118="","",IF(D118="PV",COUNTIFS('Part Routes'!$B:$B,B118,'Part Routes'!$I:$I,""),IF(D118="HE",COUNTIFS('Part Routes'!$B:$B,B118,'Part Routes'!$J:$J,""),COUNTIFS('Part Routes'!$B:$B,B118,'Part Routes'!$I:$I,"")+COUNTIFS('Part Routes'!$B:$B,B118,'Part Routes'!$J:$J,""))))</f>
        <v/>
      </c>
      <c r="T118" s="10" t="str">
        <f t="shared" si="2"/>
        <v/>
      </c>
    </row>
    <row r="119" spans="1:20" x14ac:dyDescent="0.3">
      <c r="A119" s="9"/>
      <c r="B119" s="9"/>
      <c r="C119" s="9"/>
      <c r="D119" s="9"/>
      <c r="E119" s="9"/>
      <c r="F119" s="9"/>
      <c r="G119" s="9"/>
      <c r="H119" s="9"/>
      <c r="I119" s="9"/>
      <c r="J119" s="9"/>
      <c r="K119" s="9"/>
      <c r="L119" s="9"/>
      <c r="M119" s="9"/>
      <c r="N119" s="9"/>
      <c r="O119" s="9"/>
      <c r="P119" s="9"/>
      <c r="Q119" s="9"/>
      <c r="R119" s="10" t="str">
        <f>IF(B119="","",COUNTIF('Part Routes'!$B:$B,B119))</f>
        <v/>
      </c>
      <c r="S119" s="10" t="str">
        <f>IF(B119="","",IF(D119="PV",COUNTIFS('Part Routes'!$B:$B,B119,'Part Routes'!$I:$I,""),IF(D119="HE",COUNTIFS('Part Routes'!$B:$B,B119,'Part Routes'!$J:$J,""),COUNTIFS('Part Routes'!$B:$B,B119,'Part Routes'!$I:$I,"")+COUNTIFS('Part Routes'!$B:$B,B119,'Part Routes'!$J:$J,""))))</f>
        <v/>
      </c>
      <c r="T119" s="10" t="str">
        <f t="shared" si="2"/>
        <v/>
      </c>
    </row>
    <row r="120" spans="1:20" x14ac:dyDescent="0.3">
      <c r="A120" s="9"/>
      <c r="B120" s="9"/>
      <c r="C120" s="9"/>
      <c r="D120" s="9"/>
      <c r="E120" s="9"/>
      <c r="F120" s="9"/>
      <c r="G120" s="9"/>
      <c r="H120" s="9"/>
      <c r="I120" s="9"/>
      <c r="J120" s="9"/>
      <c r="K120" s="9"/>
      <c r="L120" s="9"/>
      <c r="M120" s="9"/>
      <c r="N120" s="9"/>
      <c r="O120" s="9"/>
      <c r="P120" s="9"/>
      <c r="Q120" s="9"/>
      <c r="R120" s="10" t="str">
        <f>IF(B120="","",COUNTIF('Part Routes'!$B:$B,B120))</f>
        <v/>
      </c>
      <c r="S120" s="10" t="str">
        <f>IF(B120="","",IF(D120="PV",COUNTIFS('Part Routes'!$B:$B,B120,'Part Routes'!$I:$I,""),IF(D120="HE",COUNTIFS('Part Routes'!$B:$B,B120,'Part Routes'!$J:$J,""),COUNTIFS('Part Routes'!$B:$B,B120,'Part Routes'!$I:$I,"")+COUNTIFS('Part Routes'!$B:$B,B120,'Part Routes'!$J:$J,""))))</f>
        <v/>
      </c>
      <c r="T120" s="10" t="str">
        <f t="shared" si="2"/>
        <v/>
      </c>
    </row>
    <row r="121" spans="1:20" x14ac:dyDescent="0.3">
      <c r="A121" s="9"/>
      <c r="B121" s="9"/>
      <c r="C121" s="9"/>
      <c r="D121" s="9"/>
      <c r="E121" s="9"/>
      <c r="F121" s="9"/>
      <c r="G121" s="9"/>
      <c r="H121" s="9"/>
      <c r="I121" s="9"/>
      <c r="J121" s="9"/>
      <c r="K121" s="9"/>
      <c r="L121" s="9"/>
      <c r="M121" s="9"/>
      <c r="N121" s="9"/>
      <c r="O121" s="9"/>
      <c r="P121" s="9"/>
      <c r="Q121" s="9"/>
      <c r="R121" s="10" t="str">
        <f>IF(B121="","",COUNTIF('Part Routes'!$B:$B,B121))</f>
        <v/>
      </c>
      <c r="S121" s="10" t="str">
        <f>IF(B121="","",IF(D121="PV",COUNTIFS('Part Routes'!$B:$B,B121,'Part Routes'!$I:$I,""),IF(D121="HE",COUNTIFS('Part Routes'!$B:$B,B121,'Part Routes'!$J:$J,""),COUNTIFS('Part Routes'!$B:$B,B121,'Part Routes'!$I:$I,"")+COUNTIFS('Part Routes'!$B:$B,B121,'Part Routes'!$J:$J,""))))</f>
        <v/>
      </c>
      <c r="T121" s="10" t="str">
        <f t="shared" si="2"/>
        <v/>
      </c>
    </row>
    <row r="122" spans="1:20" x14ac:dyDescent="0.3">
      <c r="A122" s="9"/>
      <c r="B122" s="9"/>
      <c r="C122" s="9"/>
      <c r="D122" s="9"/>
      <c r="E122" s="9"/>
      <c r="F122" s="9"/>
      <c r="G122" s="9"/>
      <c r="H122" s="9"/>
      <c r="I122" s="9"/>
      <c r="J122" s="9"/>
      <c r="K122" s="9"/>
      <c r="L122" s="9"/>
      <c r="M122" s="9"/>
      <c r="N122" s="9"/>
      <c r="O122" s="9"/>
      <c r="P122" s="9"/>
      <c r="Q122" s="9"/>
      <c r="R122" s="10" t="str">
        <f>IF(B122="","",COUNTIF('Part Routes'!$B:$B,B122))</f>
        <v/>
      </c>
      <c r="S122" s="10" t="str">
        <f>IF(B122="","",IF(D122="PV",COUNTIFS('Part Routes'!$B:$B,B122,'Part Routes'!$I:$I,""),IF(D122="HE",COUNTIFS('Part Routes'!$B:$B,B122,'Part Routes'!$J:$J,""),COUNTIFS('Part Routes'!$B:$B,B122,'Part Routes'!$I:$I,"")+COUNTIFS('Part Routes'!$B:$B,B122,'Part Routes'!$J:$J,""))))</f>
        <v/>
      </c>
      <c r="T122" s="10" t="str">
        <f t="shared" si="2"/>
        <v/>
      </c>
    </row>
    <row r="123" spans="1:20" x14ac:dyDescent="0.3">
      <c r="A123" s="9"/>
      <c r="B123" s="9"/>
      <c r="C123" s="9"/>
      <c r="D123" s="9"/>
      <c r="E123" s="9"/>
      <c r="F123" s="9"/>
      <c r="G123" s="9"/>
      <c r="H123" s="9"/>
      <c r="I123" s="9"/>
      <c r="J123" s="9"/>
      <c r="K123" s="9"/>
      <c r="L123" s="9"/>
      <c r="M123" s="9"/>
      <c r="N123" s="9"/>
      <c r="O123" s="9"/>
      <c r="P123" s="9"/>
      <c r="Q123" s="9"/>
      <c r="R123" s="10" t="str">
        <f>IF(B123="","",COUNTIF('Part Routes'!$B:$B,B123))</f>
        <v/>
      </c>
      <c r="S123" s="10" t="str">
        <f>IF(B123="","",IF(D123="PV",COUNTIFS('Part Routes'!$B:$B,B123,'Part Routes'!$I:$I,""),IF(D123="HE",COUNTIFS('Part Routes'!$B:$B,B123,'Part Routes'!$J:$J,""),COUNTIFS('Part Routes'!$B:$B,B123,'Part Routes'!$I:$I,"")+COUNTIFS('Part Routes'!$B:$B,B123,'Part Routes'!$J:$J,""))))</f>
        <v/>
      </c>
      <c r="T123" s="10" t="str">
        <f t="shared" si="2"/>
        <v/>
      </c>
    </row>
    <row r="124" spans="1:20" x14ac:dyDescent="0.3">
      <c r="A124" s="9"/>
      <c r="B124" s="9"/>
      <c r="C124" s="9"/>
      <c r="D124" s="9"/>
      <c r="E124" s="9"/>
      <c r="F124" s="9"/>
      <c r="G124" s="9"/>
      <c r="H124" s="9"/>
      <c r="I124" s="9"/>
      <c r="J124" s="9"/>
      <c r="K124" s="9"/>
      <c r="L124" s="9"/>
      <c r="M124" s="9"/>
      <c r="N124" s="9"/>
      <c r="O124" s="9"/>
      <c r="P124" s="9"/>
      <c r="Q124" s="9"/>
      <c r="R124" s="10" t="str">
        <f>IF(B124="","",COUNTIF('Part Routes'!$B:$B,B124))</f>
        <v/>
      </c>
      <c r="S124" s="10" t="str">
        <f>IF(B124="","",IF(D124="PV",COUNTIFS('Part Routes'!$B:$B,B124,'Part Routes'!$I:$I,""),IF(D124="HE",COUNTIFS('Part Routes'!$B:$B,B124,'Part Routes'!$J:$J,""),COUNTIFS('Part Routes'!$B:$B,B124,'Part Routes'!$I:$I,"")+COUNTIFS('Part Routes'!$B:$B,B124,'Part Routes'!$J:$J,""))))</f>
        <v/>
      </c>
      <c r="T124" s="10" t="str">
        <f t="shared" si="2"/>
        <v/>
      </c>
    </row>
    <row r="125" spans="1:20" x14ac:dyDescent="0.3">
      <c r="A125" s="9"/>
      <c r="B125" s="9"/>
      <c r="C125" s="9"/>
      <c r="D125" s="9"/>
      <c r="E125" s="9"/>
      <c r="F125" s="9"/>
      <c r="G125" s="9"/>
      <c r="H125" s="9"/>
      <c r="I125" s="9"/>
      <c r="J125" s="9"/>
      <c r="K125" s="9"/>
      <c r="L125" s="9"/>
      <c r="M125" s="9"/>
      <c r="N125" s="9"/>
      <c r="O125" s="9"/>
      <c r="P125" s="9"/>
      <c r="Q125" s="9"/>
      <c r="R125" s="10" t="str">
        <f>IF(B125="","",COUNTIF('Part Routes'!$B:$B,B125))</f>
        <v/>
      </c>
      <c r="S125" s="10" t="str">
        <f>IF(B125="","",IF(D125="PV",COUNTIFS('Part Routes'!$B:$B,B125,'Part Routes'!$I:$I,""),IF(D125="HE",COUNTIFS('Part Routes'!$B:$B,B125,'Part Routes'!$J:$J,""),COUNTIFS('Part Routes'!$B:$B,B125,'Part Routes'!$I:$I,"")+COUNTIFS('Part Routes'!$B:$B,B125,'Part Routes'!$J:$J,""))))</f>
        <v/>
      </c>
      <c r="T125" s="10" t="str">
        <f t="shared" si="2"/>
        <v/>
      </c>
    </row>
    <row r="126" spans="1:20" x14ac:dyDescent="0.3">
      <c r="A126" s="9"/>
      <c r="B126" s="9"/>
      <c r="C126" s="9"/>
      <c r="D126" s="9"/>
      <c r="E126" s="9"/>
      <c r="F126" s="9"/>
      <c r="G126" s="9"/>
      <c r="H126" s="9"/>
      <c r="I126" s="9"/>
      <c r="J126" s="9"/>
      <c r="K126" s="9"/>
      <c r="L126" s="9"/>
      <c r="M126" s="9"/>
      <c r="N126" s="9"/>
      <c r="O126" s="9"/>
      <c r="P126" s="9"/>
      <c r="Q126" s="9"/>
      <c r="R126" s="10" t="str">
        <f>IF(B126="","",COUNTIF('Part Routes'!$B:$B,B126))</f>
        <v/>
      </c>
      <c r="S126" s="10" t="str">
        <f>IF(B126="","",IF(D126="PV",COUNTIFS('Part Routes'!$B:$B,B126,'Part Routes'!$I:$I,""),IF(D126="HE",COUNTIFS('Part Routes'!$B:$B,B126,'Part Routes'!$J:$J,""),COUNTIFS('Part Routes'!$B:$B,B126,'Part Routes'!$I:$I,"")+COUNTIFS('Part Routes'!$B:$B,B126,'Part Routes'!$J:$J,""))))</f>
        <v/>
      </c>
      <c r="T126" s="10" t="str">
        <f t="shared" si="2"/>
        <v/>
      </c>
    </row>
    <row r="127" spans="1:20" x14ac:dyDescent="0.3">
      <c r="A127" s="9"/>
      <c r="B127" s="9"/>
      <c r="C127" s="9"/>
      <c r="D127" s="9"/>
      <c r="E127" s="9"/>
      <c r="F127" s="9"/>
      <c r="G127" s="9"/>
      <c r="H127" s="9"/>
      <c r="I127" s="9"/>
      <c r="J127" s="9"/>
      <c r="K127" s="9"/>
      <c r="L127" s="9"/>
      <c r="M127" s="9"/>
      <c r="N127" s="9"/>
      <c r="O127" s="9"/>
      <c r="P127" s="9"/>
      <c r="Q127" s="9"/>
      <c r="R127" s="10" t="str">
        <f>IF(B127="","",COUNTIF('Part Routes'!$B:$B,B127))</f>
        <v/>
      </c>
      <c r="S127" s="10" t="str">
        <f>IF(B127="","",IF(D127="PV",COUNTIFS('Part Routes'!$B:$B,B127,'Part Routes'!$I:$I,""),IF(D127="HE",COUNTIFS('Part Routes'!$B:$B,B127,'Part Routes'!$J:$J,""),COUNTIFS('Part Routes'!$B:$B,B127,'Part Routes'!$I:$I,"")+COUNTIFS('Part Routes'!$B:$B,B127,'Part Routes'!$J:$J,""))))</f>
        <v/>
      </c>
      <c r="T127" s="10" t="str">
        <f t="shared" si="2"/>
        <v/>
      </c>
    </row>
    <row r="128" spans="1:20" x14ac:dyDescent="0.3">
      <c r="A128" s="9"/>
      <c r="B128" s="9"/>
      <c r="C128" s="9"/>
      <c r="D128" s="9"/>
      <c r="E128" s="9"/>
      <c r="F128" s="9"/>
      <c r="G128" s="9"/>
      <c r="H128" s="9"/>
      <c r="I128" s="9"/>
      <c r="J128" s="9"/>
      <c r="K128" s="9"/>
      <c r="L128" s="9"/>
      <c r="M128" s="9"/>
      <c r="N128" s="9"/>
      <c r="O128" s="9"/>
      <c r="P128" s="9"/>
      <c r="Q128" s="9"/>
      <c r="R128" s="10" t="str">
        <f>IF(B128="","",COUNTIF('Part Routes'!$B:$B,B128))</f>
        <v/>
      </c>
      <c r="S128" s="10" t="str">
        <f>IF(B128="","",IF(D128="PV",COUNTIFS('Part Routes'!$B:$B,B128,'Part Routes'!$I:$I,""),IF(D128="HE",COUNTIFS('Part Routes'!$B:$B,B128,'Part Routes'!$J:$J,""),COUNTIFS('Part Routes'!$B:$B,B128,'Part Routes'!$I:$I,"")+COUNTIFS('Part Routes'!$B:$B,B128,'Part Routes'!$J:$J,""))))</f>
        <v/>
      </c>
      <c r="T128" s="10" t="str">
        <f t="shared" si="2"/>
        <v/>
      </c>
    </row>
    <row r="129" spans="1:20" x14ac:dyDescent="0.3">
      <c r="A129" s="9"/>
      <c r="B129" s="9"/>
      <c r="C129" s="9"/>
      <c r="D129" s="9"/>
      <c r="E129" s="9"/>
      <c r="F129" s="9"/>
      <c r="G129" s="9"/>
      <c r="H129" s="9"/>
      <c r="I129" s="9"/>
      <c r="J129" s="9"/>
      <c r="K129" s="9"/>
      <c r="L129" s="9"/>
      <c r="M129" s="9"/>
      <c r="N129" s="9"/>
      <c r="O129" s="9"/>
      <c r="P129" s="9"/>
      <c r="Q129" s="9"/>
      <c r="R129" s="10" t="str">
        <f>IF(B129="","",COUNTIF('Part Routes'!$B:$B,B129))</f>
        <v/>
      </c>
      <c r="S129" s="10" t="str">
        <f>IF(B129="","",IF(D129="PV",COUNTIFS('Part Routes'!$B:$B,B129,'Part Routes'!$I:$I,""),IF(D129="HE",COUNTIFS('Part Routes'!$B:$B,B129,'Part Routes'!$J:$J,""),COUNTIFS('Part Routes'!$B:$B,B129,'Part Routes'!$I:$I,"")+COUNTIFS('Part Routes'!$B:$B,B129,'Part Routes'!$J:$J,""))))</f>
        <v/>
      </c>
      <c r="T129" s="10" t="str">
        <f t="shared" si="2"/>
        <v/>
      </c>
    </row>
    <row r="130" spans="1:20" x14ac:dyDescent="0.3">
      <c r="A130" s="9"/>
      <c r="B130" s="9"/>
      <c r="C130" s="9"/>
      <c r="D130" s="9"/>
      <c r="E130" s="9"/>
      <c r="F130" s="9"/>
      <c r="G130" s="9"/>
      <c r="H130" s="9"/>
      <c r="I130" s="9"/>
      <c r="J130" s="9"/>
      <c r="K130" s="9"/>
      <c r="L130" s="9"/>
      <c r="M130" s="9"/>
      <c r="N130" s="9"/>
      <c r="O130" s="9"/>
      <c r="P130" s="9"/>
      <c r="Q130" s="9"/>
      <c r="R130" s="10" t="str">
        <f>IF(B130="","",COUNTIF('Part Routes'!$B:$B,B130))</f>
        <v/>
      </c>
      <c r="S130" s="10" t="str">
        <f>IF(B130="","",IF(D130="PV",COUNTIFS('Part Routes'!$B:$B,B130,'Part Routes'!$I:$I,""),IF(D130="HE",COUNTIFS('Part Routes'!$B:$B,B130,'Part Routes'!$J:$J,""),COUNTIFS('Part Routes'!$B:$B,B130,'Part Routes'!$I:$I,"")+COUNTIFS('Part Routes'!$B:$B,B130,'Part Routes'!$J:$J,""))))</f>
        <v/>
      </c>
      <c r="T130" s="10" t="str">
        <f t="shared" si="2"/>
        <v/>
      </c>
    </row>
    <row r="131" spans="1:20" x14ac:dyDescent="0.3">
      <c r="A131" s="9"/>
      <c r="B131" s="9"/>
      <c r="C131" s="9"/>
      <c r="D131" s="9"/>
      <c r="E131" s="9"/>
      <c r="F131" s="9"/>
      <c r="G131" s="9"/>
      <c r="H131" s="9"/>
      <c r="I131" s="9"/>
      <c r="J131" s="9"/>
      <c r="K131" s="9"/>
      <c r="L131" s="9"/>
      <c r="M131" s="9"/>
      <c r="N131" s="9"/>
      <c r="O131" s="9"/>
      <c r="P131" s="9"/>
      <c r="Q131" s="9"/>
      <c r="R131" s="10" t="str">
        <f>IF(B131="","",COUNTIF('Part Routes'!$B:$B,B131))</f>
        <v/>
      </c>
      <c r="S131" s="10" t="str">
        <f>IF(B131="","",IF(D131="PV",COUNTIFS('Part Routes'!$B:$B,B131,'Part Routes'!$I:$I,""),IF(D131="HE",COUNTIFS('Part Routes'!$B:$B,B131,'Part Routes'!$J:$J,""),COUNTIFS('Part Routes'!$B:$B,B131,'Part Routes'!$I:$I,"")+COUNTIFS('Part Routes'!$B:$B,B131,'Part Routes'!$J:$J,""))))</f>
        <v/>
      </c>
      <c r="T131" s="10" t="str">
        <f t="shared" si="2"/>
        <v/>
      </c>
    </row>
    <row r="132" spans="1:20" x14ac:dyDescent="0.3">
      <c r="A132" s="9"/>
      <c r="B132" s="9"/>
      <c r="C132" s="9"/>
      <c r="D132" s="9"/>
      <c r="E132" s="9"/>
      <c r="F132" s="9"/>
      <c r="G132" s="9"/>
      <c r="H132" s="9"/>
      <c r="I132" s="9"/>
      <c r="J132" s="9"/>
      <c r="K132" s="9"/>
      <c r="L132" s="9"/>
      <c r="M132" s="9"/>
      <c r="N132" s="9"/>
      <c r="O132" s="9"/>
      <c r="P132" s="9"/>
      <c r="Q132" s="9"/>
      <c r="R132" s="10" t="str">
        <f>IF(B132="","",COUNTIF('Part Routes'!$B:$B,B132))</f>
        <v/>
      </c>
      <c r="S132" s="10" t="str">
        <f>IF(B132="","",IF(D132="PV",COUNTIFS('Part Routes'!$B:$B,B132,'Part Routes'!$I:$I,""),IF(D132="HE",COUNTIFS('Part Routes'!$B:$B,B132,'Part Routes'!$J:$J,""),COUNTIFS('Part Routes'!$B:$B,B132,'Part Routes'!$I:$I,"")+COUNTIFS('Part Routes'!$B:$B,B132,'Part Routes'!$J:$J,""))))</f>
        <v/>
      </c>
      <c r="T132" s="10" t="str">
        <f t="shared" si="2"/>
        <v/>
      </c>
    </row>
    <row r="133" spans="1:20" x14ac:dyDescent="0.3">
      <c r="A133" s="9"/>
      <c r="B133" s="9"/>
      <c r="C133" s="9"/>
      <c r="D133" s="9"/>
      <c r="E133" s="9"/>
      <c r="F133" s="9"/>
      <c r="G133" s="9"/>
      <c r="H133" s="9"/>
      <c r="I133" s="9"/>
      <c r="J133" s="9"/>
      <c r="K133" s="9"/>
      <c r="L133" s="9"/>
      <c r="M133" s="9"/>
      <c r="N133" s="9"/>
      <c r="O133" s="9"/>
      <c r="P133" s="9"/>
      <c r="Q133" s="9"/>
      <c r="R133" s="10" t="str">
        <f>IF(B133="","",COUNTIF('Part Routes'!$B:$B,B133))</f>
        <v/>
      </c>
      <c r="S133" s="10" t="str">
        <f>IF(B133="","",IF(D133="PV",COUNTIFS('Part Routes'!$B:$B,B133,'Part Routes'!$I:$I,""),IF(D133="HE",COUNTIFS('Part Routes'!$B:$B,B133,'Part Routes'!$J:$J,""),COUNTIFS('Part Routes'!$B:$B,B133,'Part Routes'!$I:$I,"")+COUNTIFS('Part Routes'!$B:$B,B133,'Part Routes'!$J:$J,""))))</f>
        <v/>
      </c>
      <c r="T133" s="10" t="str">
        <f t="shared" ref="T133:T196" si="3">IF(B133="","",IF(M133="Assumed – to be confirmed",R133,0))</f>
        <v/>
      </c>
    </row>
    <row r="134" spans="1:20" x14ac:dyDescent="0.3">
      <c r="A134" s="9"/>
      <c r="B134" s="9"/>
      <c r="C134" s="9"/>
      <c r="D134" s="9"/>
      <c r="E134" s="9"/>
      <c r="F134" s="9"/>
      <c r="G134" s="9"/>
      <c r="H134" s="9"/>
      <c r="I134" s="9"/>
      <c r="J134" s="9"/>
      <c r="K134" s="9"/>
      <c r="L134" s="9"/>
      <c r="M134" s="9"/>
      <c r="N134" s="9"/>
      <c r="O134" s="9"/>
      <c r="P134" s="9"/>
      <c r="Q134" s="9"/>
      <c r="R134" s="10" t="str">
        <f>IF(B134="","",COUNTIF('Part Routes'!$B:$B,B134))</f>
        <v/>
      </c>
      <c r="S134" s="10" t="str">
        <f>IF(B134="","",IF(D134="PV",COUNTIFS('Part Routes'!$B:$B,B134,'Part Routes'!$I:$I,""),IF(D134="HE",COUNTIFS('Part Routes'!$B:$B,B134,'Part Routes'!$J:$J,""),COUNTIFS('Part Routes'!$B:$B,B134,'Part Routes'!$I:$I,"")+COUNTIFS('Part Routes'!$B:$B,B134,'Part Routes'!$J:$J,""))))</f>
        <v/>
      </c>
      <c r="T134" s="10" t="str">
        <f t="shared" si="3"/>
        <v/>
      </c>
    </row>
    <row r="135" spans="1:20" x14ac:dyDescent="0.3">
      <c r="A135" s="9"/>
      <c r="B135" s="9"/>
      <c r="C135" s="9"/>
      <c r="D135" s="9"/>
      <c r="E135" s="9"/>
      <c r="F135" s="9"/>
      <c r="G135" s="9"/>
      <c r="H135" s="9"/>
      <c r="I135" s="9"/>
      <c r="J135" s="9"/>
      <c r="K135" s="9"/>
      <c r="L135" s="9"/>
      <c r="M135" s="9"/>
      <c r="N135" s="9"/>
      <c r="O135" s="9"/>
      <c r="P135" s="9"/>
      <c r="Q135" s="9"/>
      <c r="R135" s="10" t="str">
        <f>IF(B135="","",COUNTIF('Part Routes'!$B:$B,B135))</f>
        <v/>
      </c>
      <c r="S135" s="10" t="str">
        <f>IF(B135="","",IF(D135="PV",COUNTIFS('Part Routes'!$B:$B,B135,'Part Routes'!$I:$I,""),IF(D135="HE",COUNTIFS('Part Routes'!$B:$B,B135,'Part Routes'!$J:$J,""),COUNTIFS('Part Routes'!$B:$B,B135,'Part Routes'!$I:$I,"")+COUNTIFS('Part Routes'!$B:$B,B135,'Part Routes'!$J:$J,""))))</f>
        <v/>
      </c>
      <c r="T135" s="10" t="str">
        <f t="shared" si="3"/>
        <v/>
      </c>
    </row>
    <row r="136" spans="1:20" x14ac:dyDescent="0.3">
      <c r="A136" s="9"/>
      <c r="B136" s="9"/>
      <c r="C136" s="9"/>
      <c r="D136" s="9"/>
      <c r="E136" s="9"/>
      <c r="F136" s="9"/>
      <c r="G136" s="9"/>
      <c r="H136" s="9"/>
      <c r="I136" s="9"/>
      <c r="J136" s="9"/>
      <c r="K136" s="9"/>
      <c r="L136" s="9"/>
      <c r="M136" s="9"/>
      <c r="N136" s="9"/>
      <c r="O136" s="9"/>
      <c r="P136" s="9"/>
      <c r="Q136" s="9"/>
      <c r="R136" s="10" t="str">
        <f>IF(B136="","",COUNTIF('Part Routes'!$B:$B,B136))</f>
        <v/>
      </c>
      <c r="S136" s="10" t="str">
        <f>IF(B136="","",IF(D136="PV",COUNTIFS('Part Routes'!$B:$B,B136,'Part Routes'!$I:$I,""),IF(D136="HE",COUNTIFS('Part Routes'!$B:$B,B136,'Part Routes'!$J:$J,""),COUNTIFS('Part Routes'!$B:$B,B136,'Part Routes'!$I:$I,"")+COUNTIFS('Part Routes'!$B:$B,B136,'Part Routes'!$J:$J,""))))</f>
        <v/>
      </c>
      <c r="T136" s="10" t="str">
        <f t="shared" si="3"/>
        <v/>
      </c>
    </row>
    <row r="137" spans="1:20" x14ac:dyDescent="0.3">
      <c r="A137" s="9"/>
      <c r="B137" s="9"/>
      <c r="C137" s="9"/>
      <c r="D137" s="9"/>
      <c r="E137" s="9"/>
      <c r="F137" s="9"/>
      <c r="G137" s="9"/>
      <c r="H137" s="9"/>
      <c r="I137" s="9"/>
      <c r="J137" s="9"/>
      <c r="K137" s="9"/>
      <c r="L137" s="9"/>
      <c r="M137" s="9"/>
      <c r="N137" s="9"/>
      <c r="O137" s="9"/>
      <c r="P137" s="9"/>
      <c r="Q137" s="9"/>
      <c r="R137" s="10" t="str">
        <f>IF(B137="","",COUNTIF('Part Routes'!$B:$B,B137))</f>
        <v/>
      </c>
      <c r="S137" s="10" t="str">
        <f>IF(B137="","",IF(D137="PV",COUNTIFS('Part Routes'!$B:$B,B137,'Part Routes'!$I:$I,""),IF(D137="HE",COUNTIFS('Part Routes'!$B:$B,B137,'Part Routes'!$J:$J,""),COUNTIFS('Part Routes'!$B:$B,B137,'Part Routes'!$I:$I,"")+COUNTIFS('Part Routes'!$B:$B,B137,'Part Routes'!$J:$J,""))))</f>
        <v/>
      </c>
      <c r="T137" s="10" t="str">
        <f t="shared" si="3"/>
        <v/>
      </c>
    </row>
    <row r="138" spans="1:20" x14ac:dyDescent="0.3">
      <c r="A138" s="9"/>
      <c r="B138" s="9"/>
      <c r="C138" s="9"/>
      <c r="D138" s="9"/>
      <c r="E138" s="9"/>
      <c r="F138" s="9"/>
      <c r="G138" s="9"/>
      <c r="H138" s="9"/>
      <c r="I138" s="9"/>
      <c r="J138" s="9"/>
      <c r="K138" s="9"/>
      <c r="L138" s="9"/>
      <c r="M138" s="9"/>
      <c r="N138" s="9"/>
      <c r="O138" s="9"/>
      <c r="P138" s="9"/>
      <c r="Q138" s="9"/>
      <c r="R138" s="10" t="str">
        <f>IF(B138="","",COUNTIF('Part Routes'!$B:$B,B138))</f>
        <v/>
      </c>
      <c r="S138" s="10" t="str">
        <f>IF(B138="","",IF(D138="PV",COUNTIFS('Part Routes'!$B:$B,B138,'Part Routes'!$I:$I,""),IF(D138="HE",COUNTIFS('Part Routes'!$B:$B,B138,'Part Routes'!$J:$J,""),COUNTIFS('Part Routes'!$B:$B,B138,'Part Routes'!$I:$I,"")+COUNTIFS('Part Routes'!$B:$B,B138,'Part Routes'!$J:$J,""))))</f>
        <v/>
      </c>
      <c r="T138" s="10" t="str">
        <f t="shared" si="3"/>
        <v/>
      </c>
    </row>
    <row r="139" spans="1:20" x14ac:dyDescent="0.3">
      <c r="A139" s="9"/>
      <c r="B139" s="9"/>
      <c r="C139" s="9"/>
      <c r="D139" s="9"/>
      <c r="E139" s="9"/>
      <c r="F139" s="9"/>
      <c r="G139" s="9"/>
      <c r="H139" s="9"/>
      <c r="I139" s="9"/>
      <c r="J139" s="9"/>
      <c r="K139" s="9"/>
      <c r="L139" s="9"/>
      <c r="M139" s="9"/>
      <c r="N139" s="9"/>
      <c r="O139" s="9"/>
      <c r="P139" s="9"/>
      <c r="Q139" s="9"/>
      <c r="R139" s="10" t="str">
        <f>IF(B139="","",COUNTIF('Part Routes'!$B:$B,B139))</f>
        <v/>
      </c>
      <c r="S139" s="10" t="str">
        <f>IF(B139="","",IF(D139="PV",COUNTIFS('Part Routes'!$B:$B,B139,'Part Routes'!$I:$I,""),IF(D139="HE",COUNTIFS('Part Routes'!$B:$B,B139,'Part Routes'!$J:$J,""),COUNTIFS('Part Routes'!$B:$B,B139,'Part Routes'!$I:$I,"")+COUNTIFS('Part Routes'!$B:$B,B139,'Part Routes'!$J:$J,""))))</f>
        <v/>
      </c>
      <c r="T139" s="10" t="str">
        <f t="shared" si="3"/>
        <v/>
      </c>
    </row>
    <row r="140" spans="1:20" x14ac:dyDescent="0.3">
      <c r="A140" s="9"/>
      <c r="B140" s="9"/>
      <c r="C140" s="9"/>
      <c r="D140" s="9"/>
      <c r="E140" s="9"/>
      <c r="F140" s="9"/>
      <c r="G140" s="9"/>
      <c r="H140" s="9"/>
      <c r="I140" s="9"/>
      <c r="J140" s="9"/>
      <c r="K140" s="9"/>
      <c r="L140" s="9"/>
      <c r="M140" s="9"/>
      <c r="N140" s="9"/>
      <c r="O140" s="9"/>
      <c r="P140" s="9"/>
      <c r="Q140" s="9"/>
      <c r="R140" s="10" t="str">
        <f>IF(B140="","",COUNTIF('Part Routes'!$B:$B,B140))</f>
        <v/>
      </c>
      <c r="S140" s="10" t="str">
        <f>IF(B140="","",IF(D140="PV",COUNTIFS('Part Routes'!$B:$B,B140,'Part Routes'!$I:$I,""),IF(D140="HE",COUNTIFS('Part Routes'!$B:$B,B140,'Part Routes'!$J:$J,""),COUNTIFS('Part Routes'!$B:$B,B140,'Part Routes'!$I:$I,"")+COUNTIFS('Part Routes'!$B:$B,B140,'Part Routes'!$J:$J,""))))</f>
        <v/>
      </c>
      <c r="T140" s="10" t="str">
        <f t="shared" si="3"/>
        <v/>
      </c>
    </row>
    <row r="141" spans="1:20" x14ac:dyDescent="0.3">
      <c r="A141" s="9"/>
      <c r="B141" s="9"/>
      <c r="C141" s="9"/>
      <c r="D141" s="9"/>
      <c r="E141" s="9"/>
      <c r="F141" s="9"/>
      <c r="G141" s="9"/>
      <c r="H141" s="9"/>
      <c r="I141" s="9"/>
      <c r="J141" s="9"/>
      <c r="K141" s="9"/>
      <c r="L141" s="9"/>
      <c r="M141" s="9"/>
      <c r="N141" s="9"/>
      <c r="O141" s="9"/>
      <c r="P141" s="9"/>
      <c r="Q141" s="9"/>
      <c r="R141" s="10" t="str">
        <f>IF(B141="","",COUNTIF('Part Routes'!$B:$B,B141))</f>
        <v/>
      </c>
      <c r="S141" s="10" t="str">
        <f>IF(B141="","",IF(D141="PV",COUNTIFS('Part Routes'!$B:$B,B141,'Part Routes'!$I:$I,""),IF(D141="HE",COUNTIFS('Part Routes'!$B:$B,B141,'Part Routes'!$J:$J,""),COUNTIFS('Part Routes'!$B:$B,B141,'Part Routes'!$I:$I,"")+COUNTIFS('Part Routes'!$B:$B,B141,'Part Routes'!$J:$J,""))))</f>
        <v/>
      </c>
      <c r="T141" s="10" t="str">
        <f t="shared" si="3"/>
        <v/>
      </c>
    </row>
    <row r="142" spans="1:20" x14ac:dyDescent="0.3">
      <c r="A142" s="9"/>
      <c r="B142" s="9"/>
      <c r="C142" s="9"/>
      <c r="D142" s="9"/>
      <c r="E142" s="9"/>
      <c r="F142" s="9"/>
      <c r="G142" s="9"/>
      <c r="H142" s="9"/>
      <c r="I142" s="9"/>
      <c r="J142" s="9"/>
      <c r="K142" s="9"/>
      <c r="L142" s="9"/>
      <c r="M142" s="9"/>
      <c r="N142" s="9"/>
      <c r="O142" s="9"/>
      <c r="P142" s="9"/>
      <c r="Q142" s="9"/>
      <c r="R142" s="10" t="str">
        <f>IF(B142="","",COUNTIF('Part Routes'!$B:$B,B142))</f>
        <v/>
      </c>
      <c r="S142" s="10" t="str">
        <f>IF(B142="","",IF(D142="PV",COUNTIFS('Part Routes'!$B:$B,B142,'Part Routes'!$I:$I,""),IF(D142="HE",COUNTIFS('Part Routes'!$B:$B,B142,'Part Routes'!$J:$J,""),COUNTIFS('Part Routes'!$B:$B,B142,'Part Routes'!$I:$I,"")+COUNTIFS('Part Routes'!$B:$B,B142,'Part Routes'!$J:$J,""))))</f>
        <v/>
      </c>
      <c r="T142" s="10" t="str">
        <f t="shared" si="3"/>
        <v/>
      </c>
    </row>
    <row r="143" spans="1:20" x14ac:dyDescent="0.3">
      <c r="A143" s="9"/>
      <c r="B143" s="9"/>
      <c r="C143" s="9"/>
      <c r="D143" s="9"/>
      <c r="E143" s="9"/>
      <c r="F143" s="9"/>
      <c r="G143" s="9"/>
      <c r="H143" s="9"/>
      <c r="I143" s="9"/>
      <c r="J143" s="9"/>
      <c r="K143" s="9"/>
      <c r="L143" s="9"/>
      <c r="M143" s="9"/>
      <c r="N143" s="9"/>
      <c r="O143" s="9"/>
      <c r="P143" s="9"/>
      <c r="Q143" s="9"/>
      <c r="R143" s="10" t="str">
        <f>IF(B143="","",COUNTIF('Part Routes'!$B:$B,B143))</f>
        <v/>
      </c>
      <c r="S143" s="10" t="str">
        <f>IF(B143="","",IF(D143="PV",COUNTIFS('Part Routes'!$B:$B,B143,'Part Routes'!$I:$I,""),IF(D143="HE",COUNTIFS('Part Routes'!$B:$B,B143,'Part Routes'!$J:$J,""),COUNTIFS('Part Routes'!$B:$B,B143,'Part Routes'!$I:$I,"")+COUNTIFS('Part Routes'!$B:$B,B143,'Part Routes'!$J:$J,""))))</f>
        <v/>
      </c>
      <c r="T143" s="10" t="str">
        <f t="shared" si="3"/>
        <v/>
      </c>
    </row>
    <row r="144" spans="1:20" x14ac:dyDescent="0.3">
      <c r="A144" s="9"/>
      <c r="B144" s="9"/>
      <c r="C144" s="9"/>
      <c r="D144" s="9"/>
      <c r="E144" s="9"/>
      <c r="F144" s="9"/>
      <c r="G144" s="9"/>
      <c r="H144" s="9"/>
      <c r="I144" s="9"/>
      <c r="J144" s="9"/>
      <c r="K144" s="9"/>
      <c r="L144" s="9"/>
      <c r="M144" s="9"/>
      <c r="N144" s="9"/>
      <c r="O144" s="9"/>
      <c r="P144" s="9"/>
      <c r="Q144" s="9"/>
      <c r="R144" s="10" t="str">
        <f>IF(B144="","",COUNTIF('Part Routes'!$B:$B,B144))</f>
        <v/>
      </c>
      <c r="S144" s="10" t="str">
        <f>IF(B144="","",IF(D144="PV",COUNTIFS('Part Routes'!$B:$B,B144,'Part Routes'!$I:$I,""),IF(D144="HE",COUNTIFS('Part Routes'!$B:$B,B144,'Part Routes'!$J:$J,""),COUNTIFS('Part Routes'!$B:$B,B144,'Part Routes'!$I:$I,"")+COUNTIFS('Part Routes'!$B:$B,B144,'Part Routes'!$J:$J,""))))</f>
        <v/>
      </c>
      <c r="T144" s="10" t="str">
        <f t="shared" si="3"/>
        <v/>
      </c>
    </row>
    <row r="145" spans="1:20" x14ac:dyDescent="0.3">
      <c r="A145" s="9"/>
      <c r="B145" s="9"/>
      <c r="C145" s="9"/>
      <c r="D145" s="9"/>
      <c r="E145" s="9"/>
      <c r="F145" s="9"/>
      <c r="G145" s="9"/>
      <c r="H145" s="9"/>
      <c r="I145" s="9"/>
      <c r="J145" s="9"/>
      <c r="K145" s="9"/>
      <c r="L145" s="9"/>
      <c r="M145" s="9"/>
      <c r="N145" s="9"/>
      <c r="O145" s="9"/>
      <c r="P145" s="9"/>
      <c r="Q145" s="9"/>
      <c r="R145" s="10" t="str">
        <f>IF(B145="","",COUNTIF('Part Routes'!$B:$B,B145))</f>
        <v/>
      </c>
      <c r="S145" s="10" t="str">
        <f>IF(B145="","",IF(D145="PV",COUNTIFS('Part Routes'!$B:$B,B145,'Part Routes'!$I:$I,""),IF(D145="HE",COUNTIFS('Part Routes'!$B:$B,B145,'Part Routes'!$J:$J,""),COUNTIFS('Part Routes'!$B:$B,B145,'Part Routes'!$I:$I,"")+COUNTIFS('Part Routes'!$B:$B,B145,'Part Routes'!$J:$J,""))))</f>
        <v/>
      </c>
      <c r="T145" s="10" t="str">
        <f t="shared" si="3"/>
        <v/>
      </c>
    </row>
    <row r="146" spans="1:20" x14ac:dyDescent="0.3">
      <c r="A146" s="9"/>
      <c r="B146" s="9"/>
      <c r="C146" s="9"/>
      <c r="D146" s="9"/>
      <c r="E146" s="9"/>
      <c r="F146" s="9"/>
      <c r="G146" s="9"/>
      <c r="H146" s="9"/>
      <c r="I146" s="9"/>
      <c r="J146" s="9"/>
      <c r="K146" s="9"/>
      <c r="L146" s="9"/>
      <c r="M146" s="9"/>
      <c r="N146" s="9"/>
      <c r="O146" s="9"/>
      <c r="P146" s="9"/>
      <c r="Q146" s="9"/>
      <c r="R146" s="10" t="str">
        <f>IF(B146="","",COUNTIF('Part Routes'!$B:$B,B146))</f>
        <v/>
      </c>
      <c r="S146" s="10" t="str">
        <f>IF(B146="","",IF(D146="PV",COUNTIFS('Part Routes'!$B:$B,B146,'Part Routes'!$I:$I,""),IF(D146="HE",COUNTIFS('Part Routes'!$B:$B,B146,'Part Routes'!$J:$J,""),COUNTIFS('Part Routes'!$B:$B,B146,'Part Routes'!$I:$I,"")+COUNTIFS('Part Routes'!$B:$B,B146,'Part Routes'!$J:$J,""))))</f>
        <v/>
      </c>
      <c r="T146" s="10" t="str">
        <f t="shared" si="3"/>
        <v/>
      </c>
    </row>
    <row r="147" spans="1:20" x14ac:dyDescent="0.3">
      <c r="A147" s="9"/>
      <c r="B147" s="9"/>
      <c r="C147" s="9"/>
      <c r="D147" s="9"/>
      <c r="E147" s="9"/>
      <c r="F147" s="9"/>
      <c r="G147" s="9"/>
      <c r="H147" s="9"/>
      <c r="I147" s="9"/>
      <c r="J147" s="9"/>
      <c r="K147" s="9"/>
      <c r="L147" s="9"/>
      <c r="M147" s="9"/>
      <c r="N147" s="9"/>
      <c r="O147" s="9"/>
      <c r="P147" s="9"/>
      <c r="Q147" s="9"/>
      <c r="R147" s="10" t="str">
        <f>IF(B147="","",COUNTIF('Part Routes'!$B:$B,B147))</f>
        <v/>
      </c>
      <c r="S147" s="10" t="str">
        <f>IF(B147="","",IF(D147="PV",COUNTIFS('Part Routes'!$B:$B,B147,'Part Routes'!$I:$I,""),IF(D147="HE",COUNTIFS('Part Routes'!$B:$B,B147,'Part Routes'!$J:$J,""),COUNTIFS('Part Routes'!$B:$B,B147,'Part Routes'!$I:$I,"")+COUNTIFS('Part Routes'!$B:$B,B147,'Part Routes'!$J:$J,""))))</f>
        <v/>
      </c>
      <c r="T147" s="10" t="str">
        <f t="shared" si="3"/>
        <v/>
      </c>
    </row>
    <row r="148" spans="1:20" x14ac:dyDescent="0.3">
      <c r="A148" s="9"/>
      <c r="B148" s="9"/>
      <c r="C148" s="9"/>
      <c r="D148" s="9"/>
      <c r="E148" s="9"/>
      <c r="F148" s="9"/>
      <c r="G148" s="9"/>
      <c r="H148" s="9"/>
      <c r="I148" s="9"/>
      <c r="J148" s="9"/>
      <c r="K148" s="9"/>
      <c r="L148" s="9"/>
      <c r="M148" s="9"/>
      <c r="N148" s="9"/>
      <c r="O148" s="9"/>
      <c r="P148" s="9"/>
      <c r="Q148" s="9"/>
      <c r="R148" s="10" t="str">
        <f>IF(B148="","",COUNTIF('Part Routes'!$B:$B,B148))</f>
        <v/>
      </c>
      <c r="S148" s="10" t="str">
        <f>IF(B148="","",IF(D148="PV",COUNTIFS('Part Routes'!$B:$B,B148,'Part Routes'!$I:$I,""),IF(D148="HE",COUNTIFS('Part Routes'!$B:$B,B148,'Part Routes'!$J:$J,""),COUNTIFS('Part Routes'!$B:$B,B148,'Part Routes'!$I:$I,"")+COUNTIFS('Part Routes'!$B:$B,B148,'Part Routes'!$J:$J,""))))</f>
        <v/>
      </c>
      <c r="T148" s="10" t="str">
        <f t="shared" si="3"/>
        <v/>
      </c>
    </row>
    <row r="149" spans="1:20" x14ac:dyDescent="0.3">
      <c r="A149" s="9"/>
      <c r="B149" s="9"/>
      <c r="C149" s="9"/>
      <c r="D149" s="9"/>
      <c r="E149" s="9"/>
      <c r="F149" s="9"/>
      <c r="G149" s="9"/>
      <c r="H149" s="9"/>
      <c r="I149" s="9"/>
      <c r="J149" s="9"/>
      <c r="K149" s="9"/>
      <c r="L149" s="9"/>
      <c r="M149" s="9"/>
      <c r="N149" s="9"/>
      <c r="O149" s="9"/>
      <c r="P149" s="9"/>
      <c r="Q149" s="9"/>
      <c r="R149" s="10" t="str">
        <f>IF(B149="","",COUNTIF('Part Routes'!$B:$B,B149))</f>
        <v/>
      </c>
      <c r="S149" s="10" t="str">
        <f>IF(B149="","",IF(D149="PV",COUNTIFS('Part Routes'!$B:$B,B149,'Part Routes'!$I:$I,""),IF(D149="HE",COUNTIFS('Part Routes'!$B:$B,B149,'Part Routes'!$J:$J,""),COUNTIFS('Part Routes'!$B:$B,B149,'Part Routes'!$I:$I,"")+COUNTIFS('Part Routes'!$B:$B,B149,'Part Routes'!$J:$J,""))))</f>
        <v/>
      </c>
      <c r="T149" s="10" t="str">
        <f t="shared" si="3"/>
        <v/>
      </c>
    </row>
    <row r="150" spans="1:20" x14ac:dyDescent="0.3">
      <c r="A150" s="9"/>
      <c r="B150" s="9"/>
      <c r="C150" s="9"/>
      <c r="D150" s="9"/>
      <c r="E150" s="9"/>
      <c r="F150" s="9"/>
      <c r="G150" s="9"/>
      <c r="H150" s="9"/>
      <c r="I150" s="9"/>
      <c r="J150" s="9"/>
      <c r="K150" s="9"/>
      <c r="L150" s="9"/>
      <c r="M150" s="9"/>
      <c r="N150" s="9"/>
      <c r="O150" s="9"/>
      <c r="P150" s="9"/>
      <c r="Q150" s="9"/>
      <c r="R150" s="10" t="str">
        <f>IF(B150="","",COUNTIF('Part Routes'!$B:$B,B150))</f>
        <v/>
      </c>
      <c r="S150" s="10" t="str">
        <f>IF(B150="","",IF(D150="PV",COUNTIFS('Part Routes'!$B:$B,B150,'Part Routes'!$I:$I,""),IF(D150="HE",COUNTIFS('Part Routes'!$B:$B,B150,'Part Routes'!$J:$J,""),COUNTIFS('Part Routes'!$B:$B,B150,'Part Routes'!$I:$I,"")+COUNTIFS('Part Routes'!$B:$B,B150,'Part Routes'!$J:$J,""))))</f>
        <v/>
      </c>
      <c r="T150" s="10" t="str">
        <f t="shared" si="3"/>
        <v/>
      </c>
    </row>
    <row r="151" spans="1:20" x14ac:dyDescent="0.3">
      <c r="A151" s="9"/>
      <c r="B151" s="9"/>
      <c r="C151" s="9"/>
      <c r="D151" s="9"/>
      <c r="E151" s="9"/>
      <c r="F151" s="9"/>
      <c r="G151" s="9"/>
      <c r="H151" s="9"/>
      <c r="I151" s="9"/>
      <c r="J151" s="9"/>
      <c r="K151" s="9"/>
      <c r="L151" s="9"/>
      <c r="M151" s="9"/>
      <c r="N151" s="9"/>
      <c r="O151" s="9"/>
      <c r="P151" s="9"/>
      <c r="Q151" s="9"/>
      <c r="R151" s="10" t="str">
        <f>IF(B151="","",COUNTIF('Part Routes'!$B:$B,B151))</f>
        <v/>
      </c>
      <c r="S151" s="10" t="str">
        <f>IF(B151="","",IF(D151="PV",COUNTIFS('Part Routes'!$B:$B,B151,'Part Routes'!$I:$I,""),IF(D151="HE",COUNTIFS('Part Routes'!$B:$B,B151,'Part Routes'!$J:$J,""),COUNTIFS('Part Routes'!$B:$B,B151,'Part Routes'!$I:$I,"")+COUNTIFS('Part Routes'!$B:$B,B151,'Part Routes'!$J:$J,""))))</f>
        <v/>
      </c>
      <c r="T151" s="10" t="str">
        <f t="shared" si="3"/>
        <v/>
      </c>
    </row>
    <row r="152" spans="1:20" x14ac:dyDescent="0.3">
      <c r="A152" s="9"/>
      <c r="B152" s="9"/>
      <c r="C152" s="9"/>
      <c r="D152" s="9"/>
      <c r="E152" s="9"/>
      <c r="F152" s="9"/>
      <c r="G152" s="9"/>
      <c r="H152" s="9"/>
      <c r="I152" s="9"/>
      <c r="J152" s="9"/>
      <c r="K152" s="9"/>
      <c r="L152" s="9"/>
      <c r="M152" s="9"/>
      <c r="N152" s="9"/>
      <c r="O152" s="9"/>
      <c r="P152" s="9"/>
      <c r="Q152" s="9"/>
      <c r="R152" s="10" t="str">
        <f>IF(B152="","",COUNTIF('Part Routes'!$B:$B,B152))</f>
        <v/>
      </c>
      <c r="S152" s="10" t="str">
        <f>IF(B152="","",IF(D152="PV",COUNTIFS('Part Routes'!$B:$B,B152,'Part Routes'!$I:$I,""),IF(D152="HE",COUNTIFS('Part Routes'!$B:$B,B152,'Part Routes'!$J:$J,""),COUNTIFS('Part Routes'!$B:$B,B152,'Part Routes'!$I:$I,"")+COUNTIFS('Part Routes'!$B:$B,B152,'Part Routes'!$J:$J,""))))</f>
        <v/>
      </c>
      <c r="T152" s="10" t="str">
        <f t="shared" si="3"/>
        <v/>
      </c>
    </row>
    <row r="153" spans="1:20" x14ac:dyDescent="0.3">
      <c r="A153" s="9"/>
      <c r="B153" s="9"/>
      <c r="C153" s="9"/>
      <c r="D153" s="9"/>
      <c r="E153" s="9"/>
      <c r="F153" s="9"/>
      <c r="G153" s="9"/>
      <c r="H153" s="9"/>
      <c r="I153" s="9"/>
      <c r="J153" s="9"/>
      <c r="K153" s="9"/>
      <c r="L153" s="9"/>
      <c r="M153" s="9"/>
      <c r="N153" s="9"/>
      <c r="O153" s="9"/>
      <c r="P153" s="9"/>
      <c r="Q153" s="9"/>
      <c r="R153" s="10" t="str">
        <f>IF(B153="","",COUNTIF('Part Routes'!$B:$B,B153))</f>
        <v/>
      </c>
      <c r="S153" s="10" t="str">
        <f>IF(B153="","",IF(D153="PV",COUNTIFS('Part Routes'!$B:$B,B153,'Part Routes'!$I:$I,""),IF(D153="HE",COUNTIFS('Part Routes'!$B:$B,B153,'Part Routes'!$J:$J,""),COUNTIFS('Part Routes'!$B:$B,B153,'Part Routes'!$I:$I,"")+COUNTIFS('Part Routes'!$B:$B,B153,'Part Routes'!$J:$J,""))))</f>
        <v/>
      </c>
      <c r="T153" s="10" t="str">
        <f t="shared" si="3"/>
        <v/>
      </c>
    </row>
    <row r="154" spans="1:20" x14ac:dyDescent="0.3">
      <c r="A154" s="9"/>
      <c r="B154" s="9"/>
      <c r="C154" s="9"/>
      <c r="D154" s="9"/>
      <c r="E154" s="9"/>
      <c r="F154" s="9"/>
      <c r="G154" s="9"/>
      <c r="H154" s="9"/>
      <c r="I154" s="9"/>
      <c r="J154" s="9"/>
      <c r="K154" s="9"/>
      <c r="L154" s="9"/>
      <c r="M154" s="9"/>
      <c r="N154" s="9"/>
      <c r="O154" s="9"/>
      <c r="P154" s="9"/>
      <c r="Q154" s="9"/>
      <c r="R154" s="10" t="str">
        <f>IF(B154="","",COUNTIF('Part Routes'!$B:$B,B154))</f>
        <v/>
      </c>
      <c r="S154" s="10" t="str">
        <f>IF(B154="","",IF(D154="PV",COUNTIFS('Part Routes'!$B:$B,B154,'Part Routes'!$I:$I,""),IF(D154="HE",COUNTIFS('Part Routes'!$B:$B,B154,'Part Routes'!$J:$J,""),COUNTIFS('Part Routes'!$B:$B,B154,'Part Routes'!$I:$I,"")+COUNTIFS('Part Routes'!$B:$B,B154,'Part Routes'!$J:$J,""))))</f>
        <v/>
      </c>
      <c r="T154" s="10" t="str">
        <f t="shared" si="3"/>
        <v/>
      </c>
    </row>
    <row r="155" spans="1:20" x14ac:dyDescent="0.3">
      <c r="A155" s="9"/>
      <c r="B155" s="9"/>
      <c r="C155" s="9"/>
      <c r="D155" s="9"/>
      <c r="E155" s="9"/>
      <c r="F155" s="9"/>
      <c r="G155" s="9"/>
      <c r="H155" s="9"/>
      <c r="I155" s="9"/>
      <c r="J155" s="9"/>
      <c r="K155" s="9"/>
      <c r="L155" s="9"/>
      <c r="M155" s="9"/>
      <c r="N155" s="9"/>
      <c r="O155" s="9"/>
      <c r="P155" s="9"/>
      <c r="Q155" s="9"/>
      <c r="R155" s="10" t="str">
        <f>IF(B155="","",COUNTIF('Part Routes'!$B:$B,B155))</f>
        <v/>
      </c>
      <c r="S155" s="10" t="str">
        <f>IF(B155="","",IF(D155="PV",COUNTIFS('Part Routes'!$B:$B,B155,'Part Routes'!$I:$I,""),IF(D155="HE",COUNTIFS('Part Routes'!$B:$B,B155,'Part Routes'!$J:$J,""),COUNTIFS('Part Routes'!$B:$B,B155,'Part Routes'!$I:$I,"")+COUNTIFS('Part Routes'!$B:$B,B155,'Part Routes'!$J:$J,""))))</f>
        <v/>
      </c>
      <c r="T155" s="10" t="str">
        <f t="shared" si="3"/>
        <v/>
      </c>
    </row>
    <row r="156" spans="1:20" x14ac:dyDescent="0.3">
      <c r="A156" s="9"/>
      <c r="B156" s="9"/>
      <c r="C156" s="9"/>
      <c r="D156" s="9"/>
      <c r="E156" s="9"/>
      <c r="F156" s="9"/>
      <c r="G156" s="9"/>
      <c r="H156" s="9"/>
      <c r="I156" s="9"/>
      <c r="J156" s="9"/>
      <c r="K156" s="9"/>
      <c r="L156" s="9"/>
      <c r="M156" s="9"/>
      <c r="N156" s="9"/>
      <c r="O156" s="9"/>
      <c r="P156" s="9"/>
      <c r="Q156" s="9"/>
      <c r="R156" s="10" t="str">
        <f>IF(B156="","",COUNTIF('Part Routes'!$B:$B,B156))</f>
        <v/>
      </c>
      <c r="S156" s="10" t="str">
        <f>IF(B156="","",IF(D156="PV",COUNTIFS('Part Routes'!$B:$B,B156,'Part Routes'!$I:$I,""),IF(D156="HE",COUNTIFS('Part Routes'!$B:$B,B156,'Part Routes'!$J:$J,""),COUNTIFS('Part Routes'!$B:$B,B156,'Part Routes'!$I:$I,"")+COUNTIFS('Part Routes'!$B:$B,B156,'Part Routes'!$J:$J,""))))</f>
        <v/>
      </c>
      <c r="T156" s="10" t="str">
        <f t="shared" si="3"/>
        <v/>
      </c>
    </row>
    <row r="157" spans="1:20" x14ac:dyDescent="0.3">
      <c r="A157" s="9"/>
      <c r="B157" s="9"/>
      <c r="C157" s="9"/>
      <c r="D157" s="9"/>
      <c r="E157" s="9"/>
      <c r="F157" s="9"/>
      <c r="G157" s="9"/>
      <c r="H157" s="9"/>
      <c r="I157" s="9"/>
      <c r="J157" s="9"/>
      <c r="K157" s="9"/>
      <c r="L157" s="9"/>
      <c r="M157" s="9"/>
      <c r="N157" s="9"/>
      <c r="O157" s="9"/>
      <c r="P157" s="9"/>
      <c r="Q157" s="9"/>
      <c r="R157" s="10" t="str">
        <f>IF(B157="","",COUNTIF('Part Routes'!$B:$B,B157))</f>
        <v/>
      </c>
      <c r="S157" s="10" t="str">
        <f>IF(B157="","",IF(D157="PV",COUNTIFS('Part Routes'!$B:$B,B157,'Part Routes'!$I:$I,""),IF(D157="HE",COUNTIFS('Part Routes'!$B:$B,B157,'Part Routes'!$J:$J,""),COUNTIFS('Part Routes'!$B:$B,B157,'Part Routes'!$I:$I,"")+COUNTIFS('Part Routes'!$B:$B,B157,'Part Routes'!$J:$J,""))))</f>
        <v/>
      </c>
      <c r="T157" s="10" t="str">
        <f t="shared" si="3"/>
        <v/>
      </c>
    </row>
    <row r="158" spans="1:20" x14ac:dyDescent="0.3">
      <c r="A158" s="9"/>
      <c r="B158" s="9"/>
      <c r="C158" s="9"/>
      <c r="D158" s="9"/>
      <c r="E158" s="9"/>
      <c r="F158" s="9"/>
      <c r="G158" s="9"/>
      <c r="H158" s="9"/>
      <c r="I158" s="9"/>
      <c r="J158" s="9"/>
      <c r="K158" s="9"/>
      <c r="L158" s="9"/>
      <c r="M158" s="9"/>
      <c r="N158" s="9"/>
      <c r="O158" s="9"/>
      <c r="P158" s="9"/>
      <c r="Q158" s="9"/>
      <c r="R158" s="10" t="str">
        <f>IF(B158="","",COUNTIF('Part Routes'!$B:$B,B158))</f>
        <v/>
      </c>
      <c r="S158" s="10" t="str">
        <f>IF(B158="","",IF(D158="PV",COUNTIFS('Part Routes'!$B:$B,B158,'Part Routes'!$I:$I,""),IF(D158="HE",COUNTIFS('Part Routes'!$B:$B,B158,'Part Routes'!$J:$J,""),COUNTIFS('Part Routes'!$B:$B,B158,'Part Routes'!$I:$I,"")+COUNTIFS('Part Routes'!$B:$B,B158,'Part Routes'!$J:$J,""))))</f>
        <v/>
      </c>
      <c r="T158" s="10" t="str">
        <f t="shared" si="3"/>
        <v/>
      </c>
    </row>
    <row r="159" spans="1:20" x14ac:dyDescent="0.3">
      <c r="A159" s="9"/>
      <c r="B159" s="9"/>
      <c r="C159" s="9"/>
      <c r="D159" s="9"/>
      <c r="E159" s="9"/>
      <c r="F159" s="9"/>
      <c r="G159" s="9"/>
      <c r="H159" s="9"/>
      <c r="I159" s="9"/>
      <c r="J159" s="9"/>
      <c r="K159" s="9"/>
      <c r="L159" s="9"/>
      <c r="M159" s="9"/>
      <c r="N159" s="9"/>
      <c r="O159" s="9"/>
      <c r="P159" s="9"/>
      <c r="Q159" s="9"/>
      <c r="R159" s="10" t="str">
        <f>IF(B159="","",COUNTIF('Part Routes'!$B:$B,B159))</f>
        <v/>
      </c>
      <c r="S159" s="10" t="str">
        <f>IF(B159="","",IF(D159="PV",COUNTIFS('Part Routes'!$B:$B,B159,'Part Routes'!$I:$I,""),IF(D159="HE",COUNTIFS('Part Routes'!$B:$B,B159,'Part Routes'!$J:$J,""),COUNTIFS('Part Routes'!$B:$B,B159,'Part Routes'!$I:$I,"")+COUNTIFS('Part Routes'!$B:$B,B159,'Part Routes'!$J:$J,""))))</f>
        <v/>
      </c>
      <c r="T159" s="10" t="str">
        <f t="shared" si="3"/>
        <v/>
      </c>
    </row>
    <row r="160" spans="1:20" x14ac:dyDescent="0.3">
      <c r="A160" s="9"/>
      <c r="B160" s="9"/>
      <c r="C160" s="9"/>
      <c r="D160" s="9"/>
      <c r="E160" s="9"/>
      <c r="F160" s="9"/>
      <c r="G160" s="9"/>
      <c r="H160" s="9"/>
      <c r="I160" s="9"/>
      <c r="J160" s="9"/>
      <c r="K160" s="9"/>
      <c r="L160" s="9"/>
      <c r="M160" s="9"/>
      <c r="N160" s="9"/>
      <c r="O160" s="9"/>
      <c r="P160" s="9"/>
      <c r="Q160" s="9"/>
      <c r="R160" s="10" t="str">
        <f>IF(B160="","",COUNTIF('Part Routes'!$B:$B,B160))</f>
        <v/>
      </c>
      <c r="S160" s="10" t="str">
        <f>IF(B160="","",IF(D160="PV",COUNTIFS('Part Routes'!$B:$B,B160,'Part Routes'!$I:$I,""),IF(D160="HE",COUNTIFS('Part Routes'!$B:$B,B160,'Part Routes'!$J:$J,""),COUNTIFS('Part Routes'!$B:$B,B160,'Part Routes'!$I:$I,"")+COUNTIFS('Part Routes'!$B:$B,B160,'Part Routes'!$J:$J,""))))</f>
        <v/>
      </c>
      <c r="T160" s="10" t="str">
        <f t="shared" si="3"/>
        <v/>
      </c>
    </row>
    <row r="161" spans="1:20" x14ac:dyDescent="0.3">
      <c r="A161" s="9"/>
      <c r="B161" s="9"/>
      <c r="C161" s="9"/>
      <c r="D161" s="9"/>
      <c r="E161" s="9"/>
      <c r="F161" s="9"/>
      <c r="G161" s="9"/>
      <c r="H161" s="9"/>
      <c r="I161" s="9"/>
      <c r="J161" s="9"/>
      <c r="K161" s="9"/>
      <c r="L161" s="9"/>
      <c r="M161" s="9"/>
      <c r="N161" s="9"/>
      <c r="O161" s="9"/>
      <c r="P161" s="9"/>
      <c r="Q161" s="9"/>
      <c r="R161" s="10" t="str">
        <f>IF(B161="","",COUNTIF('Part Routes'!$B:$B,B161))</f>
        <v/>
      </c>
      <c r="S161" s="10" t="str">
        <f>IF(B161="","",IF(D161="PV",COUNTIFS('Part Routes'!$B:$B,B161,'Part Routes'!$I:$I,""),IF(D161="HE",COUNTIFS('Part Routes'!$B:$B,B161,'Part Routes'!$J:$J,""),COUNTIFS('Part Routes'!$B:$B,B161,'Part Routes'!$I:$I,"")+COUNTIFS('Part Routes'!$B:$B,B161,'Part Routes'!$J:$J,""))))</f>
        <v/>
      </c>
      <c r="T161" s="10" t="str">
        <f t="shared" si="3"/>
        <v/>
      </c>
    </row>
    <row r="162" spans="1:20" x14ac:dyDescent="0.3">
      <c r="A162" s="9"/>
      <c r="B162" s="9"/>
      <c r="C162" s="9"/>
      <c r="D162" s="9"/>
      <c r="E162" s="9"/>
      <c r="F162" s="9"/>
      <c r="G162" s="9"/>
      <c r="H162" s="9"/>
      <c r="I162" s="9"/>
      <c r="J162" s="9"/>
      <c r="K162" s="9"/>
      <c r="L162" s="9"/>
      <c r="M162" s="9"/>
      <c r="N162" s="9"/>
      <c r="O162" s="9"/>
      <c r="P162" s="9"/>
      <c r="Q162" s="9"/>
      <c r="R162" s="10" t="str">
        <f>IF(B162="","",COUNTIF('Part Routes'!$B:$B,B162))</f>
        <v/>
      </c>
      <c r="S162" s="10" t="str">
        <f>IF(B162="","",IF(D162="PV",COUNTIFS('Part Routes'!$B:$B,B162,'Part Routes'!$I:$I,""),IF(D162="HE",COUNTIFS('Part Routes'!$B:$B,B162,'Part Routes'!$J:$J,""),COUNTIFS('Part Routes'!$B:$B,B162,'Part Routes'!$I:$I,"")+COUNTIFS('Part Routes'!$B:$B,B162,'Part Routes'!$J:$J,""))))</f>
        <v/>
      </c>
      <c r="T162" s="10" t="str">
        <f t="shared" si="3"/>
        <v/>
      </c>
    </row>
    <row r="163" spans="1:20" x14ac:dyDescent="0.3">
      <c r="A163" s="9"/>
      <c r="B163" s="9"/>
      <c r="C163" s="9"/>
      <c r="D163" s="9"/>
      <c r="E163" s="9"/>
      <c r="F163" s="9"/>
      <c r="G163" s="9"/>
      <c r="H163" s="9"/>
      <c r="I163" s="9"/>
      <c r="J163" s="9"/>
      <c r="K163" s="9"/>
      <c r="L163" s="9"/>
      <c r="M163" s="9"/>
      <c r="N163" s="9"/>
      <c r="O163" s="9"/>
      <c r="P163" s="9"/>
      <c r="Q163" s="9"/>
      <c r="R163" s="10" t="str">
        <f>IF(B163="","",COUNTIF('Part Routes'!$B:$B,B163))</f>
        <v/>
      </c>
      <c r="S163" s="10" t="str">
        <f>IF(B163="","",IF(D163="PV",COUNTIFS('Part Routes'!$B:$B,B163,'Part Routes'!$I:$I,""),IF(D163="HE",COUNTIFS('Part Routes'!$B:$B,B163,'Part Routes'!$J:$J,""),COUNTIFS('Part Routes'!$B:$B,B163,'Part Routes'!$I:$I,"")+COUNTIFS('Part Routes'!$B:$B,B163,'Part Routes'!$J:$J,""))))</f>
        <v/>
      </c>
      <c r="T163" s="10" t="str">
        <f t="shared" si="3"/>
        <v/>
      </c>
    </row>
    <row r="164" spans="1:20" x14ac:dyDescent="0.3">
      <c r="A164" s="9"/>
      <c r="B164" s="9"/>
      <c r="C164" s="9"/>
      <c r="D164" s="9"/>
      <c r="E164" s="9"/>
      <c r="F164" s="9"/>
      <c r="G164" s="9"/>
      <c r="H164" s="9"/>
      <c r="I164" s="9"/>
      <c r="J164" s="9"/>
      <c r="K164" s="9"/>
      <c r="L164" s="9"/>
      <c r="M164" s="9"/>
      <c r="N164" s="9"/>
      <c r="O164" s="9"/>
      <c r="P164" s="9"/>
      <c r="Q164" s="9"/>
      <c r="R164" s="10" t="str">
        <f>IF(B164="","",COUNTIF('Part Routes'!$B:$B,B164))</f>
        <v/>
      </c>
      <c r="S164" s="10" t="str">
        <f>IF(B164="","",IF(D164="PV",COUNTIFS('Part Routes'!$B:$B,B164,'Part Routes'!$I:$I,""),IF(D164="HE",COUNTIFS('Part Routes'!$B:$B,B164,'Part Routes'!$J:$J,""),COUNTIFS('Part Routes'!$B:$B,B164,'Part Routes'!$I:$I,"")+COUNTIFS('Part Routes'!$B:$B,B164,'Part Routes'!$J:$J,""))))</f>
        <v/>
      </c>
      <c r="T164" s="10" t="str">
        <f t="shared" si="3"/>
        <v/>
      </c>
    </row>
    <row r="165" spans="1:20" x14ac:dyDescent="0.3">
      <c r="A165" s="9"/>
      <c r="B165" s="9"/>
      <c r="C165" s="9"/>
      <c r="D165" s="9"/>
      <c r="E165" s="9"/>
      <c r="F165" s="9"/>
      <c r="G165" s="9"/>
      <c r="H165" s="9"/>
      <c r="I165" s="9"/>
      <c r="J165" s="9"/>
      <c r="K165" s="9"/>
      <c r="L165" s="9"/>
      <c r="M165" s="9"/>
      <c r="N165" s="9"/>
      <c r="O165" s="9"/>
      <c r="P165" s="9"/>
      <c r="Q165" s="9"/>
      <c r="R165" s="10" t="str">
        <f>IF(B165="","",COUNTIF('Part Routes'!$B:$B,B165))</f>
        <v/>
      </c>
      <c r="S165" s="10" t="str">
        <f>IF(B165="","",IF(D165="PV",COUNTIFS('Part Routes'!$B:$B,B165,'Part Routes'!$I:$I,""),IF(D165="HE",COUNTIFS('Part Routes'!$B:$B,B165,'Part Routes'!$J:$J,""),COUNTIFS('Part Routes'!$B:$B,B165,'Part Routes'!$I:$I,"")+COUNTIFS('Part Routes'!$B:$B,B165,'Part Routes'!$J:$J,""))))</f>
        <v/>
      </c>
      <c r="T165" s="10" t="str">
        <f t="shared" si="3"/>
        <v/>
      </c>
    </row>
    <row r="166" spans="1:20" x14ac:dyDescent="0.3">
      <c r="A166" s="9"/>
      <c r="B166" s="9"/>
      <c r="C166" s="9"/>
      <c r="D166" s="9"/>
      <c r="E166" s="9"/>
      <c r="F166" s="9"/>
      <c r="G166" s="9"/>
      <c r="H166" s="9"/>
      <c r="I166" s="9"/>
      <c r="J166" s="9"/>
      <c r="K166" s="9"/>
      <c r="L166" s="9"/>
      <c r="M166" s="9"/>
      <c r="N166" s="9"/>
      <c r="O166" s="9"/>
      <c r="P166" s="9"/>
      <c r="Q166" s="9"/>
      <c r="R166" s="10" t="str">
        <f>IF(B166="","",COUNTIF('Part Routes'!$B:$B,B166))</f>
        <v/>
      </c>
      <c r="S166" s="10" t="str">
        <f>IF(B166="","",IF(D166="PV",COUNTIFS('Part Routes'!$B:$B,B166,'Part Routes'!$I:$I,""),IF(D166="HE",COUNTIFS('Part Routes'!$B:$B,B166,'Part Routes'!$J:$J,""),COUNTIFS('Part Routes'!$B:$B,B166,'Part Routes'!$I:$I,"")+COUNTIFS('Part Routes'!$B:$B,B166,'Part Routes'!$J:$J,""))))</f>
        <v/>
      </c>
      <c r="T166" s="10" t="str">
        <f t="shared" si="3"/>
        <v/>
      </c>
    </row>
    <row r="167" spans="1:20" x14ac:dyDescent="0.3">
      <c r="A167" s="9"/>
      <c r="B167" s="9"/>
      <c r="C167" s="9"/>
      <c r="D167" s="9"/>
      <c r="E167" s="9"/>
      <c r="F167" s="9"/>
      <c r="G167" s="9"/>
      <c r="H167" s="9"/>
      <c r="I167" s="9"/>
      <c r="J167" s="9"/>
      <c r="K167" s="9"/>
      <c r="L167" s="9"/>
      <c r="M167" s="9"/>
      <c r="N167" s="9"/>
      <c r="O167" s="9"/>
      <c r="P167" s="9"/>
      <c r="Q167" s="9"/>
      <c r="R167" s="10" t="str">
        <f>IF(B167="","",COUNTIF('Part Routes'!$B:$B,B167))</f>
        <v/>
      </c>
      <c r="S167" s="10" t="str">
        <f>IF(B167="","",IF(D167="PV",COUNTIFS('Part Routes'!$B:$B,B167,'Part Routes'!$I:$I,""),IF(D167="HE",COUNTIFS('Part Routes'!$B:$B,B167,'Part Routes'!$J:$J,""),COUNTIFS('Part Routes'!$B:$B,B167,'Part Routes'!$I:$I,"")+COUNTIFS('Part Routes'!$B:$B,B167,'Part Routes'!$J:$J,""))))</f>
        <v/>
      </c>
      <c r="T167" s="10" t="str">
        <f t="shared" si="3"/>
        <v/>
      </c>
    </row>
    <row r="168" spans="1:20" x14ac:dyDescent="0.3">
      <c r="A168" s="9"/>
      <c r="B168" s="9"/>
      <c r="C168" s="9"/>
      <c r="D168" s="9"/>
      <c r="E168" s="9"/>
      <c r="F168" s="9"/>
      <c r="G168" s="9"/>
      <c r="H168" s="9"/>
      <c r="I168" s="9"/>
      <c r="J168" s="9"/>
      <c r="K168" s="9"/>
      <c r="L168" s="9"/>
      <c r="M168" s="9"/>
      <c r="N168" s="9"/>
      <c r="O168" s="9"/>
      <c r="P168" s="9"/>
      <c r="Q168" s="9"/>
      <c r="R168" s="10" t="str">
        <f>IF(B168="","",COUNTIF('Part Routes'!$B:$B,B168))</f>
        <v/>
      </c>
      <c r="S168" s="10" t="str">
        <f>IF(B168="","",IF(D168="PV",COUNTIFS('Part Routes'!$B:$B,B168,'Part Routes'!$I:$I,""),IF(D168="HE",COUNTIFS('Part Routes'!$B:$B,B168,'Part Routes'!$J:$J,""),COUNTIFS('Part Routes'!$B:$B,B168,'Part Routes'!$I:$I,"")+COUNTIFS('Part Routes'!$B:$B,B168,'Part Routes'!$J:$J,""))))</f>
        <v/>
      </c>
      <c r="T168" s="10" t="str">
        <f t="shared" si="3"/>
        <v/>
      </c>
    </row>
    <row r="169" spans="1:20" x14ac:dyDescent="0.3">
      <c r="A169" s="9"/>
      <c r="B169" s="9"/>
      <c r="C169" s="9"/>
      <c r="D169" s="9"/>
      <c r="E169" s="9"/>
      <c r="F169" s="9"/>
      <c r="G169" s="9"/>
      <c r="H169" s="9"/>
      <c r="I169" s="9"/>
      <c r="J169" s="9"/>
      <c r="K169" s="9"/>
      <c r="L169" s="9"/>
      <c r="M169" s="9"/>
      <c r="N169" s="9"/>
      <c r="O169" s="9"/>
      <c r="P169" s="9"/>
      <c r="Q169" s="9"/>
      <c r="R169" s="10" t="str">
        <f>IF(B169="","",COUNTIF('Part Routes'!$B:$B,B169))</f>
        <v/>
      </c>
      <c r="S169" s="10" t="str">
        <f>IF(B169="","",IF(D169="PV",COUNTIFS('Part Routes'!$B:$B,B169,'Part Routes'!$I:$I,""),IF(D169="HE",COUNTIFS('Part Routes'!$B:$B,B169,'Part Routes'!$J:$J,""),COUNTIFS('Part Routes'!$B:$B,B169,'Part Routes'!$I:$I,"")+COUNTIFS('Part Routes'!$B:$B,B169,'Part Routes'!$J:$J,""))))</f>
        <v/>
      </c>
      <c r="T169" s="10" t="str">
        <f t="shared" si="3"/>
        <v/>
      </c>
    </row>
    <row r="170" spans="1:20" x14ac:dyDescent="0.3">
      <c r="A170" s="9"/>
      <c r="B170" s="9"/>
      <c r="C170" s="9"/>
      <c r="D170" s="9"/>
      <c r="E170" s="9"/>
      <c r="F170" s="9"/>
      <c r="G170" s="9"/>
      <c r="H170" s="9"/>
      <c r="I170" s="9"/>
      <c r="J170" s="9"/>
      <c r="K170" s="9"/>
      <c r="L170" s="9"/>
      <c r="M170" s="9"/>
      <c r="N170" s="9"/>
      <c r="O170" s="9"/>
      <c r="P170" s="9"/>
      <c r="Q170" s="9"/>
      <c r="R170" s="10" t="str">
        <f>IF(B170="","",COUNTIF('Part Routes'!$B:$B,B170))</f>
        <v/>
      </c>
      <c r="S170" s="10" t="str">
        <f>IF(B170="","",IF(D170="PV",COUNTIFS('Part Routes'!$B:$B,B170,'Part Routes'!$I:$I,""),IF(D170="HE",COUNTIFS('Part Routes'!$B:$B,B170,'Part Routes'!$J:$J,""),COUNTIFS('Part Routes'!$B:$B,B170,'Part Routes'!$I:$I,"")+COUNTIFS('Part Routes'!$B:$B,B170,'Part Routes'!$J:$J,""))))</f>
        <v/>
      </c>
      <c r="T170" s="10" t="str">
        <f t="shared" si="3"/>
        <v/>
      </c>
    </row>
    <row r="171" spans="1:20" x14ac:dyDescent="0.3">
      <c r="A171" s="9"/>
      <c r="B171" s="9"/>
      <c r="C171" s="9"/>
      <c r="D171" s="9"/>
      <c r="E171" s="9"/>
      <c r="F171" s="9"/>
      <c r="G171" s="9"/>
      <c r="H171" s="9"/>
      <c r="I171" s="9"/>
      <c r="J171" s="9"/>
      <c r="K171" s="9"/>
      <c r="L171" s="9"/>
      <c r="M171" s="9"/>
      <c r="N171" s="9"/>
      <c r="O171" s="9"/>
      <c r="P171" s="9"/>
      <c r="Q171" s="9"/>
      <c r="R171" s="10" t="str">
        <f>IF(B171="","",COUNTIF('Part Routes'!$B:$B,B171))</f>
        <v/>
      </c>
      <c r="S171" s="10" t="str">
        <f>IF(B171="","",IF(D171="PV",COUNTIFS('Part Routes'!$B:$B,B171,'Part Routes'!$I:$I,""),IF(D171="HE",COUNTIFS('Part Routes'!$B:$B,B171,'Part Routes'!$J:$J,""),COUNTIFS('Part Routes'!$B:$B,B171,'Part Routes'!$I:$I,"")+COUNTIFS('Part Routes'!$B:$B,B171,'Part Routes'!$J:$J,""))))</f>
        <v/>
      </c>
      <c r="T171" s="10" t="str">
        <f t="shared" si="3"/>
        <v/>
      </c>
    </row>
    <row r="172" spans="1:20" x14ac:dyDescent="0.3">
      <c r="A172" s="9"/>
      <c r="B172" s="9"/>
      <c r="C172" s="9"/>
      <c r="D172" s="9"/>
      <c r="E172" s="9"/>
      <c r="F172" s="9"/>
      <c r="G172" s="9"/>
      <c r="H172" s="9"/>
      <c r="I172" s="9"/>
      <c r="J172" s="9"/>
      <c r="K172" s="9"/>
      <c r="L172" s="9"/>
      <c r="M172" s="9"/>
      <c r="N172" s="9"/>
      <c r="O172" s="9"/>
      <c r="P172" s="9"/>
      <c r="Q172" s="9"/>
      <c r="R172" s="10" t="str">
        <f>IF(B172="","",COUNTIF('Part Routes'!$B:$B,B172))</f>
        <v/>
      </c>
      <c r="S172" s="10" t="str">
        <f>IF(B172="","",IF(D172="PV",COUNTIFS('Part Routes'!$B:$B,B172,'Part Routes'!$I:$I,""),IF(D172="HE",COUNTIFS('Part Routes'!$B:$B,B172,'Part Routes'!$J:$J,""),COUNTIFS('Part Routes'!$B:$B,B172,'Part Routes'!$I:$I,"")+COUNTIFS('Part Routes'!$B:$B,B172,'Part Routes'!$J:$J,""))))</f>
        <v/>
      </c>
      <c r="T172" s="10" t="str">
        <f t="shared" si="3"/>
        <v/>
      </c>
    </row>
    <row r="173" spans="1:20" x14ac:dyDescent="0.3">
      <c r="A173" s="9"/>
      <c r="B173" s="9"/>
      <c r="C173" s="9"/>
      <c r="D173" s="9"/>
      <c r="E173" s="9"/>
      <c r="F173" s="9"/>
      <c r="G173" s="9"/>
      <c r="H173" s="9"/>
      <c r="I173" s="9"/>
      <c r="J173" s="9"/>
      <c r="K173" s="9"/>
      <c r="L173" s="9"/>
      <c r="M173" s="9"/>
      <c r="N173" s="9"/>
      <c r="O173" s="9"/>
      <c r="P173" s="9"/>
      <c r="Q173" s="9"/>
      <c r="R173" s="10" t="str">
        <f>IF(B173="","",COUNTIF('Part Routes'!$B:$B,B173))</f>
        <v/>
      </c>
      <c r="S173" s="10" t="str">
        <f>IF(B173="","",IF(D173="PV",COUNTIFS('Part Routes'!$B:$B,B173,'Part Routes'!$I:$I,""),IF(D173="HE",COUNTIFS('Part Routes'!$B:$B,B173,'Part Routes'!$J:$J,""),COUNTIFS('Part Routes'!$B:$B,B173,'Part Routes'!$I:$I,"")+COUNTIFS('Part Routes'!$B:$B,B173,'Part Routes'!$J:$J,""))))</f>
        <v/>
      </c>
      <c r="T173" s="10" t="str">
        <f t="shared" si="3"/>
        <v/>
      </c>
    </row>
    <row r="174" spans="1:20" x14ac:dyDescent="0.3">
      <c r="A174" s="9"/>
      <c r="B174" s="9"/>
      <c r="C174" s="9"/>
      <c r="D174" s="9"/>
      <c r="E174" s="9"/>
      <c r="F174" s="9"/>
      <c r="G174" s="9"/>
      <c r="H174" s="9"/>
      <c r="I174" s="9"/>
      <c r="J174" s="9"/>
      <c r="K174" s="9"/>
      <c r="L174" s="9"/>
      <c r="M174" s="9"/>
      <c r="N174" s="9"/>
      <c r="O174" s="9"/>
      <c r="P174" s="9"/>
      <c r="Q174" s="9"/>
      <c r="R174" s="10" t="str">
        <f>IF(B174="","",COUNTIF('Part Routes'!$B:$B,B174))</f>
        <v/>
      </c>
      <c r="S174" s="10" t="str">
        <f>IF(B174="","",IF(D174="PV",COUNTIFS('Part Routes'!$B:$B,B174,'Part Routes'!$I:$I,""),IF(D174="HE",COUNTIFS('Part Routes'!$B:$B,B174,'Part Routes'!$J:$J,""),COUNTIFS('Part Routes'!$B:$B,B174,'Part Routes'!$I:$I,"")+COUNTIFS('Part Routes'!$B:$B,B174,'Part Routes'!$J:$J,""))))</f>
        <v/>
      </c>
      <c r="T174" s="10" t="str">
        <f t="shared" si="3"/>
        <v/>
      </c>
    </row>
    <row r="175" spans="1:20" x14ac:dyDescent="0.3">
      <c r="A175" s="9"/>
      <c r="B175" s="9"/>
      <c r="C175" s="9"/>
      <c r="D175" s="9"/>
      <c r="E175" s="9"/>
      <c r="F175" s="9"/>
      <c r="G175" s="9"/>
      <c r="H175" s="9"/>
      <c r="I175" s="9"/>
      <c r="J175" s="9"/>
      <c r="K175" s="9"/>
      <c r="L175" s="9"/>
      <c r="M175" s="9"/>
      <c r="N175" s="9"/>
      <c r="O175" s="9"/>
      <c r="P175" s="9"/>
      <c r="Q175" s="9"/>
      <c r="R175" s="10" t="str">
        <f>IF(B175="","",COUNTIF('Part Routes'!$B:$B,B175))</f>
        <v/>
      </c>
      <c r="S175" s="10" t="str">
        <f>IF(B175="","",IF(D175="PV",COUNTIFS('Part Routes'!$B:$B,B175,'Part Routes'!$I:$I,""),IF(D175="HE",COUNTIFS('Part Routes'!$B:$B,B175,'Part Routes'!$J:$J,""),COUNTIFS('Part Routes'!$B:$B,B175,'Part Routes'!$I:$I,"")+COUNTIFS('Part Routes'!$B:$B,B175,'Part Routes'!$J:$J,""))))</f>
        <v/>
      </c>
      <c r="T175" s="10" t="str">
        <f t="shared" si="3"/>
        <v/>
      </c>
    </row>
    <row r="176" spans="1:20" x14ac:dyDescent="0.3">
      <c r="A176" s="9"/>
      <c r="B176" s="9"/>
      <c r="C176" s="9"/>
      <c r="D176" s="9"/>
      <c r="E176" s="9"/>
      <c r="F176" s="9"/>
      <c r="G176" s="9"/>
      <c r="H176" s="9"/>
      <c r="I176" s="9"/>
      <c r="J176" s="9"/>
      <c r="K176" s="9"/>
      <c r="L176" s="9"/>
      <c r="M176" s="9"/>
      <c r="N176" s="9"/>
      <c r="O176" s="9"/>
      <c r="P176" s="9"/>
      <c r="Q176" s="9"/>
      <c r="R176" s="10" t="str">
        <f>IF(B176="","",COUNTIF('Part Routes'!$B:$B,B176))</f>
        <v/>
      </c>
      <c r="S176" s="10" t="str">
        <f>IF(B176="","",IF(D176="PV",COUNTIFS('Part Routes'!$B:$B,B176,'Part Routes'!$I:$I,""),IF(D176="HE",COUNTIFS('Part Routes'!$B:$B,B176,'Part Routes'!$J:$J,""),COUNTIFS('Part Routes'!$B:$B,B176,'Part Routes'!$I:$I,"")+COUNTIFS('Part Routes'!$B:$B,B176,'Part Routes'!$J:$J,""))))</f>
        <v/>
      </c>
      <c r="T176" s="10" t="str">
        <f t="shared" si="3"/>
        <v/>
      </c>
    </row>
    <row r="177" spans="1:20" x14ac:dyDescent="0.3">
      <c r="A177" s="9"/>
      <c r="B177" s="9"/>
      <c r="C177" s="9"/>
      <c r="D177" s="9"/>
      <c r="E177" s="9"/>
      <c r="F177" s="9"/>
      <c r="G177" s="9"/>
      <c r="H177" s="9"/>
      <c r="I177" s="9"/>
      <c r="J177" s="9"/>
      <c r="K177" s="9"/>
      <c r="L177" s="9"/>
      <c r="M177" s="9"/>
      <c r="N177" s="9"/>
      <c r="O177" s="9"/>
      <c r="P177" s="9"/>
      <c r="Q177" s="9"/>
      <c r="R177" s="10" t="str">
        <f>IF(B177="","",COUNTIF('Part Routes'!$B:$B,B177))</f>
        <v/>
      </c>
      <c r="S177" s="10" t="str">
        <f>IF(B177="","",IF(D177="PV",COUNTIFS('Part Routes'!$B:$B,B177,'Part Routes'!$I:$I,""),IF(D177="HE",COUNTIFS('Part Routes'!$B:$B,B177,'Part Routes'!$J:$J,""),COUNTIFS('Part Routes'!$B:$B,B177,'Part Routes'!$I:$I,"")+COUNTIFS('Part Routes'!$B:$B,B177,'Part Routes'!$J:$J,""))))</f>
        <v/>
      </c>
      <c r="T177" s="10" t="str">
        <f t="shared" si="3"/>
        <v/>
      </c>
    </row>
    <row r="178" spans="1:20" x14ac:dyDescent="0.3">
      <c r="A178" s="9"/>
      <c r="B178" s="9"/>
      <c r="C178" s="9"/>
      <c r="D178" s="9"/>
      <c r="E178" s="9"/>
      <c r="F178" s="9"/>
      <c r="G178" s="9"/>
      <c r="H178" s="9"/>
      <c r="I178" s="9"/>
      <c r="J178" s="9"/>
      <c r="K178" s="9"/>
      <c r="L178" s="9"/>
      <c r="M178" s="9"/>
      <c r="N178" s="9"/>
      <c r="O178" s="9"/>
      <c r="P178" s="9"/>
      <c r="Q178" s="9"/>
      <c r="R178" s="10" t="str">
        <f>IF(B178="","",COUNTIF('Part Routes'!$B:$B,B178))</f>
        <v/>
      </c>
      <c r="S178" s="10" t="str">
        <f>IF(B178="","",IF(D178="PV",COUNTIFS('Part Routes'!$B:$B,B178,'Part Routes'!$I:$I,""),IF(D178="HE",COUNTIFS('Part Routes'!$B:$B,B178,'Part Routes'!$J:$J,""),COUNTIFS('Part Routes'!$B:$B,B178,'Part Routes'!$I:$I,"")+COUNTIFS('Part Routes'!$B:$B,B178,'Part Routes'!$J:$J,""))))</f>
        <v/>
      </c>
      <c r="T178" s="10" t="str">
        <f t="shared" si="3"/>
        <v/>
      </c>
    </row>
    <row r="179" spans="1:20" x14ac:dyDescent="0.3">
      <c r="A179" s="9"/>
      <c r="B179" s="9"/>
      <c r="C179" s="9"/>
      <c r="D179" s="9"/>
      <c r="E179" s="9"/>
      <c r="F179" s="9"/>
      <c r="G179" s="9"/>
      <c r="H179" s="9"/>
      <c r="I179" s="9"/>
      <c r="J179" s="9"/>
      <c r="K179" s="9"/>
      <c r="L179" s="9"/>
      <c r="M179" s="9"/>
      <c r="N179" s="9"/>
      <c r="O179" s="9"/>
      <c r="P179" s="9"/>
      <c r="Q179" s="9"/>
      <c r="R179" s="10" t="str">
        <f>IF(B179="","",COUNTIF('Part Routes'!$B:$B,B179))</f>
        <v/>
      </c>
      <c r="S179" s="10" t="str">
        <f>IF(B179="","",IF(D179="PV",COUNTIFS('Part Routes'!$B:$B,B179,'Part Routes'!$I:$I,""),IF(D179="HE",COUNTIFS('Part Routes'!$B:$B,B179,'Part Routes'!$J:$J,""),COUNTIFS('Part Routes'!$B:$B,B179,'Part Routes'!$I:$I,"")+COUNTIFS('Part Routes'!$B:$B,B179,'Part Routes'!$J:$J,""))))</f>
        <v/>
      </c>
      <c r="T179" s="10" t="str">
        <f t="shared" si="3"/>
        <v/>
      </c>
    </row>
    <row r="180" spans="1:20" x14ac:dyDescent="0.3">
      <c r="A180" s="9"/>
      <c r="B180" s="9"/>
      <c r="C180" s="9"/>
      <c r="D180" s="9"/>
      <c r="E180" s="9"/>
      <c r="F180" s="9"/>
      <c r="G180" s="9"/>
      <c r="H180" s="9"/>
      <c r="I180" s="9"/>
      <c r="J180" s="9"/>
      <c r="K180" s="9"/>
      <c r="L180" s="9"/>
      <c r="M180" s="9"/>
      <c r="N180" s="9"/>
      <c r="O180" s="9"/>
      <c r="P180" s="9"/>
      <c r="Q180" s="9"/>
      <c r="R180" s="10" t="str">
        <f>IF(B180="","",COUNTIF('Part Routes'!$B:$B,B180))</f>
        <v/>
      </c>
      <c r="S180" s="10" t="str">
        <f>IF(B180="","",IF(D180="PV",COUNTIFS('Part Routes'!$B:$B,B180,'Part Routes'!$I:$I,""),IF(D180="HE",COUNTIFS('Part Routes'!$B:$B,B180,'Part Routes'!$J:$J,""),COUNTIFS('Part Routes'!$B:$B,B180,'Part Routes'!$I:$I,"")+COUNTIFS('Part Routes'!$B:$B,B180,'Part Routes'!$J:$J,""))))</f>
        <v/>
      </c>
      <c r="T180" s="10" t="str">
        <f t="shared" si="3"/>
        <v/>
      </c>
    </row>
    <row r="181" spans="1:20" x14ac:dyDescent="0.3">
      <c r="A181" s="9"/>
      <c r="B181" s="9"/>
      <c r="C181" s="9"/>
      <c r="D181" s="9"/>
      <c r="E181" s="9"/>
      <c r="F181" s="9"/>
      <c r="G181" s="9"/>
      <c r="H181" s="9"/>
      <c r="I181" s="9"/>
      <c r="J181" s="9"/>
      <c r="K181" s="9"/>
      <c r="L181" s="9"/>
      <c r="M181" s="9"/>
      <c r="N181" s="9"/>
      <c r="O181" s="9"/>
      <c r="P181" s="9"/>
      <c r="Q181" s="9"/>
      <c r="R181" s="10" t="str">
        <f>IF(B181="","",COUNTIF('Part Routes'!$B:$B,B181))</f>
        <v/>
      </c>
      <c r="S181" s="10" t="str">
        <f>IF(B181="","",IF(D181="PV",COUNTIFS('Part Routes'!$B:$B,B181,'Part Routes'!$I:$I,""),IF(D181="HE",COUNTIFS('Part Routes'!$B:$B,B181,'Part Routes'!$J:$J,""),COUNTIFS('Part Routes'!$B:$B,B181,'Part Routes'!$I:$I,"")+COUNTIFS('Part Routes'!$B:$B,B181,'Part Routes'!$J:$J,""))))</f>
        <v/>
      </c>
      <c r="T181" s="10" t="str">
        <f t="shared" si="3"/>
        <v/>
      </c>
    </row>
    <row r="182" spans="1:20" x14ac:dyDescent="0.3">
      <c r="A182" s="9"/>
      <c r="B182" s="9"/>
      <c r="C182" s="9"/>
      <c r="D182" s="9"/>
      <c r="E182" s="9"/>
      <c r="F182" s="9"/>
      <c r="G182" s="9"/>
      <c r="H182" s="9"/>
      <c r="I182" s="9"/>
      <c r="J182" s="9"/>
      <c r="K182" s="9"/>
      <c r="L182" s="9"/>
      <c r="M182" s="9"/>
      <c r="N182" s="9"/>
      <c r="O182" s="9"/>
      <c r="P182" s="9"/>
      <c r="Q182" s="9"/>
      <c r="R182" s="10" t="str">
        <f>IF(B182="","",COUNTIF('Part Routes'!$B:$B,B182))</f>
        <v/>
      </c>
      <c r="S182" s="10" t="str">
        <f>IF(B182="","",IF(D182="PV",COUNTIFS('Part Routes'!$B:$B,B182,'Part Routes'!$I:$I,""),IF(D182="HE",COUNTIFS('Part Routes'!$B:$B,B182,'Part Routes'!$J:$J,""),COUNTIFS('Part Routes'!$B:$B,B182,'Part Routes'!$I:$I,"")+COUNTIFS('Part Routes'!$B:$B,B182,'Part Routes'!$J:$J,""))))</f>
        <v/>
      </c>
      <c r="T182" s="10" t="str">
        <f t="shared" si="3"/>
        <v/>
      </c>
    </row>
    <row r="183" spans="1:20" x14ac:dyDescent="0.3">
      <c r="A183" s="9"/>
      <c r="B183" s="9"/>
      <c r="C183" s="9"/>
      <c r="D183" s="9"/>
      <c r="E183" s="9"/>
      <c r="F183" s="9"/>
      <c r="G183" s="9"/>
      <c r="H183" s="9"/>
      <c r="I183" s="9"/>
      <c r="J183" s="9"/>
      <c r="K183" s="9"/>
      <c r="L183" s="9"/>
      <c r="M183" s="9"/>
      <c r="N183" s="9"/>
      <c r="O183" s="9"/>
      <c r="P183" s="9"/>
      <c r="Q183" s="9"/>
      <c r="R183" s="10" t="str">
        <f>IF(B183="","",COUNTIF('Part Routes'!$B:$B,B183))</f>
        <v/>
      </c>
      <c r="S183" s="10" t="str">
        <f>IF(B183="","",IF(D183="PV",COUNTIFS('Part Routes'!$B:$B,B183,'Part Routes'!$I:$I,""),IF(D183="HE",COUNTIFS('Part Routes'!$B:$B,B183,'Part Routes'!$J:$J,""),COUNTIFS('Part Routes'!$B:$B,B183,'Part Routes'!$I:$I,"")+COUNTIFS('Part Routes'!$B:$B,B183,'Part Routes'!$J:$J,""))))</f>
        <v/>
      </c>
      <c r="T183" s="10" t="str">
        <f t="shared" si="3"/>
        <v/>
      </c>
    </row>
    <row r="184" spans="1:20" x14ac:dyDescent="0.3">
      <c r="A184" s="9"/>
      <c r="B184" s="9"/>
      <c r="C184" s="9"/>
      <c r="D184" s="9"/>
      <c r="E184" s="9"/>
      <c r="F184" s="9"/>
      <c r="G184" s="9"/>
      <c r="H184" s="9"/>
      <c r="I184" s="9"/>
      <c r="J184" s="9"/>
      <c r="K184" s="9"/>
      <c r="L184" s="9"/>
      <c r="M184" s="9"/>
      <c r="N184" s="9"/>
      <c r="O184" s="9"/>
      <c r="P184" s="9"/>
      <c r="Q184" s="9"/>
      <c r="R184" s="10" t="str">
        <f>IF(B184="","",COUNTIF('Part Routes'!$B:$B,B184))</f>
        <v/>
      </c>
      <c r="S184" s="10" t="str">
        <f>IF(B184="","",IF(D184="PV",COUNTIFS('Part Routes'!$B:$B,B184,'Part Routes'!$I:$I,""),IF(D184="HE",COUNTIFS('Part Routes'!$B:$B,B184,'Part Routes'!$J:$J,""),COUNTIFS('Part Routes'!$B:$B,B184,'Part Routes'!$I:$I,"")+COUNTIFS('Part Routes'!$B:$B,B184,'Part Routes'!$J:$J,""))))</f>
        <v/>
      </c>
      <c r="T184" s="10" t="str">
        <f t="shared" si="3"/>
        <v/>
      </c>
    </row>
    <row r="185" spans="1:20" x14ac:dyDescent="0.3">
      <c r="A185" s="9"/>
      <c r="B185" s="9"/>
      <c r="C185" s="9"/>
      <c r="D185" s="9"/>
      <c r="E185" s="9"/>
      <c r="F185" s="9"/>
      <c r="G185" s="9"/>
      <c r="H185" s="9"/>
      <c r="I185" s="9"/>
      <c r="J185" s="9"/>
      <c r="K185" s="9"/>
      <c r="L185" s="9"/>
      <c r="M185" s="9"/>
      <c r="N185" s="9"/>
      <c r="O185" s="9"/>
      <c r="P185" s="9"/>
      <c r="Q185" s="9"/>
      <c r="R185" s="10" t="str">
        <f>IF(B185="","",COUNTIF('Part Routes'!$B:$B,B185))</f>
        <v/>
      </c>
      <c r="S185" s="10" t="str">
        <f>IF(B185="","",IF(D185="PV",COUNTIFS('Part Routes'!$B:$B,B185,'Part Routes'!$I:$I,""),IF(D185="HE",COUNTIFS('Part Routes'!$B:$B,B185,'Part Routes'!$J:$J,""),COUNTIFS('Part Routes'!$B:$B,B185,'Part Routes'!$I:$I,"")+COUNTIFS('Part Routes'!$B:$B,B185,'Part Routes'!$J:$J,""))))</f>
        <v/>
      </c>
      <c r="T185" s="10" t="str">
        <f t="shared" si="3"/>
        <v/>
      </c>
    </row>
    <row r="186" spans="1:20" x14ac:dyDescent="0.3">
      <c r="A186" s="9"/>
      <c r="B186" s="9"/>
      <c r="C186" s="9"/>
      <c r="D186" s="9"/>
      <c r="E186" s="9"/>
      <c r="F186" s="9"/>
      <c r="G186" s="9"/>
      <c r="H186" s="9"/>
      <c r="I186" s="9"/>
      <c r="J186" s="9"/>
      <c r="K186" s="9"/>
      <c r="L186" s="9"/>
      <c r="M186" s="9"/>
      <c r="N186" s="9"/>
      <c r="O186" s="9"/>
      <c r="P186" s="9"/>
      <c r="Q186" s="9"/>
      <c r="R186" s="10" t="str">
        <f>IF(B186="","",COUNTIF('Part Routes'!$B:$B,B186))</f>
        <v/>
      </c>
      <c r="S186" s="10" t="str">
        <f>IF(B186="","",IF(D186="PV",COUNTIFS('Part Routes'!$B:$B,B186,'Part Routes'!$I:$I,""),IF(D186="HE",COUNTIFS('Part Routes'!$B:$B,B186,'Part Routes'!$J:$J,""),COUNTIFS('Part Routes'!$B:$B,B186,'Part Routes'!$I:$I,"")+COUNTIFS('Part Routes'!$B:$B,B186,'Part Routes'!$J:$J,""))))</f>
        <v/>
      </c>
      <c r="T186" s="10" t="str">
        <f t="shared" si="3"/>
        <v/>
      </c>
    </row>
    <row r="187" spans="1:20" x14ac:dyDescent="0.3">
      <c r="A187" s="9"/>
      <c r="B187" s="9"/>
      <c r="C187" s="9"/>
      <c r="D187" s="9"/>
      <c r="E187" s="9"/>
      <c r="F187" s="9"/>
      <c r="G187" s="9"/>
      <c r="H187" s="9"/>
      <c r="I187" s="9"/>
      <c r="J187" s="9"/>
      <c r="K187" s="9"/>
      <c r="L187" s="9"/>
      <c r="M187" s="9"/>
      <c r="N187" s="9"/>
      <c r="O187" s="9"/>
      <c r="P187" s="9"/>
      <c r="Q187" s="9"/>
      <c r="R187" s="10" t="str">
        <f>IF(B187="","",COUNTIF('Part Routes'!$B:$B,B187))</f>
        <v/>
      </c>
      <c r="S187" s="10" t="str">
        <f>IF(B187="","",IF(D187="PV",COUNTIFS('Part Routes'!$B:$B,B187,'Part Routes'!$I:$I,""),IF(D187="HE",COUNTIFS('Part Routes'!$B:$B,B187,'Part Routes'!$J:$J,""),COUNTIFS('Part Routes'!$B:$B,B187,'Part Routes'!$I:$I,"")+COUNTIFS('Part Routes'!$B:$B,B187,'Part Routes'!$J:$J,""))))</f>
        <v/>
      </c>
      <c r="T187" s="10" t="str">
        <f t="shared" si="3"/>
        <v/>
      </c>
    </row>
    <row r="188" spans="1:20" x14ac:dyDescent="0.3">
      <c r="A188" s="9"/>
      <c r="B188" s="9"/>
      <c r="C188" s="9"/>
      <c r="D188" s="9"/>
      <c r="E188" s="9"/>
      <c r="F188" s="9"/>
      <c r="G188" s="9"/>
      <c r="H188" s="9"/>
      <c r="I188" s="9"/>
      <c r="J188" s="9"/>
      <c r="K188" s="9"/>
      <c r="L188" s="9"/>
      <c r="M188" s="9"/>
      <c r="N188" s="9"/>
      <c r="O188" s="9"/>
      <c r="P188" s="9"/>
      <c r="Q188" s="9"/>
      <c r="R188" s="10" t="str">
        <f>IF(B188="","",COUNTIF('Part Routes'!$B:$B,B188))</f>
        <v/>
      </c>
      <c r="S188" s="10" t="str">
        <f>IF(B188="","",IF(D188="PV",COUNTIFS('Part Routes'!$B:$B,B188,'Part Routes'!$I:$I,""),IF(D188="HE",COUNTIFS('Part Routes'!$B:$B,B188,'Part Routes'!$J:$J,""),COUNTIFS('Part Routes'!$B:$B,B188,'Part Routes'!$I:$I,"")+COUNTIFS('Part Routes'!$B:$B,B188,'Part Routes'!$J:$J,""))))</f>
        <v/>
      </c>
      <c r="T188" s="10" t="str">
        <f t="shared" si="3"/>
        <v/>
      </c>
    </row>
    <row r="189" spans="1:20" x14ac:dyDescent="0.3">
      <c r="A189" s="9"/>
      <c r="B189" s="9"/>
      <c r="C189" s="9"/>
      <c r="D189" s="9"/>
      <c r="E189" s="9"/>
      <c r="F189" s="9"/>
      <c r="G189" s="9"/>
      <c r="H189" s="9"/>
      <c r="I189" s="9"/>
      <c r="J189" s="9"/>
      <c r="K189" s="9"/>
      <c r="L189" s="9"/>
      <c r="M189" s="9"/>
      <c r="N189" s="9"/>
      <c r="O189" s="9"/>
      <c r="P189" s="9"/>
      <c r="Q189" s="9"/>
      <c r="R189" s="10" t="str">
        <f>IF(B189="","",COUNTIF('Part Routes'!$B:$B,B189))</f>
        <v/>
      </c>
      <c r="S189" s="10" t="str">
        <f>IF(B189="","",IF(D189="PV",COUNTIFS('Part Routes'!$B:$B,B189,'Part Routes'!$I:$I,""),IF(D189="HE",COUNTIFS('Part Routes'!$B:$B,B189,'Part Routes'!$J:$J,""),COUNTIFS('Part Routes'!$B:$B,B189,'Part Routes'!$I:$I,"")+COUNTIFS('Part Routes'!$B:$B,B189,'Part Routes'!$J:$J,""))))</f>
        <v/>
      </c>
      <c r="T189" s="10" t="str">
        <f t="shared" si="3"/>
        <v/>
      </c>
    </row>
    <row r="190" spans="1:20" x14ac:dyDescent="0.3">
      <c r="A190" s="9"/>
      <c r="B190" s="9"/>
      <c r="C190" s="9"/>
      <c r="D190" s="9"/>
      <c r="E190" s="9"/>
      <c r="F190" s="9"/>
      <c r="G190" s="9"/>
      <c r="H190" s="9"/>
      <c r="I190" s="9"/>
      <c r="J190" s="9"/>
      <c r="K190" s="9"/>
      <c r="L190" s="9"/>
      <c r="M190" s="9"/>
      <c r="N190" s="9"/>
      <c r="O190" s="9"/>
      <c r="P190" s="9"/>
      <c r="Q190" s="9"/>
      <c r="R190" s="10" t="str">
        <f>IF(B190="","",COUNTIF('Part Routes'!$B:$B,B190))</f>
        <v/>
      </c>
      <c r="S190" s="10" t="str">
        <f>IF(B190="","",IF(D190="PV",COUNTIFS('Part Routes'!$B:$B,B190,'Part Routes'!$I:$I,""),IF(D190="HE",COUNTIFS('Part Routes'!$B:$B,B190,'Part Routes'!$J:$J,""),COUNTIFS('Part Routes'!$B:$B,B190,'Part Routes'!$I:$I,"")+COUNTIFS('Part Routes'!$B:$B,B190,'Part Routes'!$J:$J,""))))</f>
        <v/>
      </c>
      <c r="T190" s="10" t="str">
        <f t="shared" si="3"/>
        <v/>
      </c>
    </row>
    <row r="191" spans="1:20" x14ac:dyDescent="0.3">
      <c r="A191" s="9"/>
      <c r="B191" s="9"/>
      <c r="C191" s="9"/>
      <c r="D191" s="9"/>
      <c r="E191" s="9"/>
      <c r="F191" s="9"/>
      <c r="G191" s="9"/>
      <c r="H191" s="9"/>
      <c r="I191" s="9"/>
      <c r="J191" s="9"/>
      <c r="K191" s="9"/>
      <c r="L191" s="9"/>
      <c r="M191" s="9"/>
      <c r="N191" s="9"/>
      <c r="O191" s="9"/>
      <c r="P191" s="9"/>
      <c r="Q191" s="9"/>
      <c r="R191" s="10" t="str">
        <f>IF(B191="","",COUNTIF('Part Routes'!$B:$B,B191))</f>
        <v/>
      </c>
      <c r="S191" s="10" t="str">
        <f>IF(B191="","",IF(D191="PV",COUNTIFS('Part Routes'!$B:$B,B191,'Part Routes'!$I:$I,""),IF(D191="HE",COUNTIFS('Part Routes'!$B:$B,B191,'Part Routes'!$J:$J,""),COUNTIFS('Part Routes'!$B:$B,B191,'Part Routes'!$I:$I,"")+COUNTIFS('Part Routes'!$B:$B,B191,'Part Routes'!$J:$J,""))))</f>
        <v/>
      </c>
      <c r="T191" s="10" t="str">
        <f t="shared" si="3"/>
        <v/>
      </c>
    </row>
    <row r="192" spans="1:20" x14ac:dyDescent="0.3">
      <c r="A192" s="9"/>
      <c r="B192" s="9"/>
      <c r="C192" s="9"/>
      <c r="D192" s="9"/>
      <c r="E192" s="9"/>
      <c r="F192" s="9"/>
      <c r="G192" s="9"/>
      <c r="H192" s="9"/>
      <c r="I192" s="9"/>
      <c r="J192" s="9"/>
      <c r="K192" s="9"/>
      <c r="L192" s="9"/>
      <c r="M192" s="9"/>
      <c r="N192" s="9"/>
      <c r="O192" s="9"/>
      <c r="P192" s="9"/>
      <c r="Q192" s="9"/>
      <c r="R192" s="10" t="str">
        <f>IF(B192="","",COUNTIF('Part Routes'!$B:$B,B192))</f>
        <v/>
      </c>
      <c r="S192" s="10" t="str">
        <f>IF(B192="","",IF(D192="PV",COUNTIFS('Part Routes'!$B:$B,B192,'Part Routes'!$I:$I,""),IF(D192="HE",COUNTIFS('Part Routes'!$B:$B,B192,'Part Routes'!$J:$J,""),COUNTIFS('Part Routes'!$B:$B,B192,'Part Routes'!$I:$I,"")+COUNTIFS('Part Routes'!$B:$B,B192,'Part Routes'!$J:$J,""))))</f>
        <v/>
      </c>
      <c r="T192" s="10" t="str">
        <f t="shared" si="3"/>
        <v/>
      </c>
    </row>
    <row r="193" spans="1:20" x14ac:dyDescent="0.3">
      <c r="A193" s="9"/>
      <c r="B193" s="9"/>
      <c r="C193" s="9"/>
      <c r="D193" s="9"/>
      <c r="E193" s="9"/>
      <c r="F193" s="9"/>
      <c r="G193" s="9"/>
      <c r="H193" s="9"/>
      <c r="I193" s="9"/>
      <c r="J193" s="9"/>
      <c r="K193" s="9"/>
      <c r="L193" s="9"/>
      <c r="M193" s="9"/>
      <c r="N193" s="9"/>
      <c r="O193" s="9"/>
      <c r="P193" s="9"/>
      <c r="Q193" s="9"/>
      <c r="R193" s="10" t="str">
        <f>IF(B193="","",COUNTIF('Part Routes'!$B:$B,B193))</f>
        <v/>
      </c>
      <c r="S193" s="10" t="str">
        <f>IF(B193="","",IF(D193="PV",COUNTIFS('Part Routes'!$B:$B,B193,'Part Routes'!$I:$I,""),IF(D193="HE",COUNTIFS('Part Routes'!$B:$B,B193,'Part Routes'!$J:$J,""),COUNTIFS('Part Routes'!$B:$B,B193,'Part Routes'!$I:$I,"")+COUNTIFS('Part Routes'!$B:$B,B193,'Part Routes'!$J:$J,""))))</f>
        <v/>
      </c>
      <c r="T193" s="10" t="str">
        <f t="shared" si="3"/>
        <v/>
      </c>
    </row>
    <row r="194" spans="1:20" x14ac:dyDescent="0.3">
      <c r="A194" s="9"/>
      <c r="B194" s="9"/>
      <c r="C194" s="9"/>
      <c r="D194" s="9"/>
      <c r="E194" s="9"/>
      <c r="F194" s="9"/>
      <c r="G194" s="9"/>
      <c r="H194" s="9"/>
      <c r="I194" s="9"/>
      <c r="J194" s="9"/>
      <c r="K194" s="9"/>
      <c r="L194" s="9"/>
      <c r="M194" s="9"/>
      <c r="N194" s="9"/>
      <c r="O194" s="9"/>
      <c r="P194" s="9"/>
      <c r="Q194" s="9"/>
      <c r="R194" s="10" t="str">
        <f>IF(B194="","",COUNTIF('Part Routes'!$B:$B,B194))</f>
        <v/>
      </c>
      <c r="S194" s="10" t="str">
        <f>IF(B194="","",IF(D194="PV",COUNTIFS('Part Routes'!$B:$B,B194,'Part Routes'!$I:$I,""),IF(D194="HE",COUNTIFS('Part Routes'!$B:$B,B194,'Part Routes'!$J:$J,""),COUNTIFS('Part Routes'!$B:$B,B194,'Part Routes'!$I:$I,"")+COUNTIFS('Part Routes'!$B:$B,B194,'Part Routes'!$J:$J,""))))</f>
        <v/>
      </c>
      <c r="T194" s="10" t="str">
        <f t="shared" si="3"/>
        <v/>
      </c>
    </row>
    <row r="195" spans="1:20" x14ac:dyDescent="0.3">
      <c r="A195" s="9"/>
      <c r="B195" s="9"/>
      <c r="C195" s="9"/>
      <c r="D195" s="9"/>
      <c r="E195" s="9"/>
      <c r="F195" s="9"/>
      <c r="G195" s="9"/>
      <c r="H195" s="9"/>
      <c r="I195" s="9"/>
      <c r="J195" s="9"/>
      <c r="K195" s="9"/>
      <c r="L195" s="9"/>
      <c r="M195" s="9"/>
      <c r="N195" s="9"/>
      <c r="O195" s="9"/>
      <c r="P195" s="9"/>
      <c r="Q195" s="9"/>
      <c r="R195" s="10" t="str">
        <f>IF(B195="","",COUNTIF('Part Routes'!$B:$B,B195))</f>
        <v/>
      </c>
      <c r="S195" s="10" t="str">
        <f>IF(B195="","",IF(D195="PV",COUNTIFS('Part Routes'!$B:$B,B195,'Part Routes'!$I:$I,""),IF(D195="HE",COUNTIFS('Part Routes'!$B:$B,B195,'Part Routes'!$J:$J,""),COUNTIFS('Part Routes'!$B:$B,B195,'Part Routes'!$I:$I,"")+COUNTIFS('Part Routes'!$B:$B,B195,'Part Routes'!$J:$J,""))))</f>
        <v/>
      </c>
      <c r="T195" s="10" t="str">
        <f t="shared" si="3"/>
        <v/>
      </c>
    </row>
    <row r="196" spans="1:20" x14ac:dyDescent="0.3">
      <c r="A196" s="9"/>
      <c r="B196" s="9"/>
      <c r="C196" s="9"/>
      <c r="D196" s="9"/>
      <c r="E196" s="9"/>
      <c r="F196" s="9"/>
      <c r="G196" s="9"/>
      <c r="H196" s="9"/>
      <c r="I196" s="9"/>
      <c r="J196" s="9"/>
      <c r="K196" s="9"/>
      <c r="L196" s="9"/>
      <c r="M196" s="9"/>
      <c r="N196" s="9"/>
      <c r="O196" s="9"/>
      <c r="P196" s="9"/>
      <c r="Q196" s="9"/>
      <c r="R196" s="10" t="str">
        <f>IF(B196="","",COUNTIF('Part Routes'!$B:$B,B196))</f>
        <v/>
      </c>
      <c r="S196" s="10" t="str">
        <f>IF(B196="","",IF(D196="PV",COUNTIFS('Part Routes'!$B:$B,B196,'Part Routes'!$I:$I,""),IF(D196="HE",COUNTIFS('Part Routes'!$B:$B,B196,'Part Routes'!$J:$J,""),COUNTIFS('Part Routes'!$B:$B,B196,'Part Routes'!$I:$I,"")+COUNTIFS('Part Routes'!$B:$B,B196,'Part Routes'!$J:$J,""))))</f>
        <v/>
      </c>
      <c r="T196" s="10" t="str">
        <f t="shared" si="3"/>
        <v/>
      </c>
    </row>
    <row r="197" spans="1:20" x14ac:dyDescent="0.3">
      <c r="A197" s="9"/>
      <c r="B197" s="9"/>
      <c r="C197" s="9"/>
      <c r="D197" s="9"/>
      <c r="E197" s="9"/>
      <c r="F197" s="9"/>
      <c r="G197" s="9"/>
      <c r="H197" s="9"/>
      <c r="I197" s="9"/>
      <c r="J197" s="9"/>
      <c r="K197" s="9"/>
      <c r="L197" s="9"/>
      <c r="M197" s="9"/>
      <c r="N197" s="9"/>
      <c r="O197" s="9"/>
      <c r="P197" s="9"/>
      <c r="Q197" s="9"/>
      <c r="R197" s="10" t="str">
        <f>IF(B197="","",COUNTIF('Part Routes'!$B:$B,B197))</f>
        <v/>
      </c>
      <c r="S197" s="10" t="str">
        <f>IF(B197="","",IF(D197="PV",COUNTIFS('Part Routes'!$B:$B,B197,'Part Routes'!$I:$I,""),IF(D197="HE",COUNTIFS('Part Routes'!$B:$B,B197,'Part Routes'!$J:$J,""),COUNTIFS('Part Routes'!$B:$B,B197,'Part Routes'!$I:$I,"")+COUNTIFS('Part Routes'!$B:$B,B197,'Part Routes'!$J:$J,""))))</f>
        <v/>
      </c>
      <c r="T197" s="10" t="str">
        <f t="shared" ref="T197:T260" si="4">IF(B197="","",IF(M197="Assumed – to be confirmed",R197,0))</f>
        <v/>
      </c>
    </row>
    <row r="198" spans="1:20" x14ac:dyDescent="0.3">
      <c r="A198" s="9"/>
      <c r="B198" s="9"/>
      <c r="C198" s="9"/>
      <c r="D198" s="9"/>
      <c r="E198" s="9"/>
      <c r="F198" s="9"/>
      <c r="G198" s="9"/>
      <c r="H198" s="9"/>
      <c r="I198" s="9"/>
      <c r="J198" s="9"/>
      <c r="K198" s="9"/>
      <c r="L198" s="9"/>
      <c r="M198" s="9"/>
      <c r="N198" s="9"/>
      <c r="O198" s="9"/>
      <c r="P198" s="9"/>
      <c r="Q198" s="9"/>
      <c r="R198" s="10" t="str">
        <f>IF(B198="","",COUNTIF('Part Routes'!$B:$B,B198))</f>
        <v/>
      </c>
      <c r="S198" s="10" t="str">
        <f>IF(B198="","",IF(D198="PV",COUNTIFS('Part Routes'!$B:$B,B198,'Part Routes'!$I:$I,""),IF(D198="HE",COUNTIFS('Part Routes'!$B:$B,B198,'Part Routes'!$J:$J,""),COUNTIFS('Part Routes'!$B:$B,B198,'Part Routes'!$I:$I,"")+COUNTIFS('Part Routes'!$B:$B,B198,'Part Routes'!$J:$J,""))))</f>
        <v/>
      </c>
      <c r="T198" s="10" t="str">
        <f t="shared" si="4"/>
        <v/>
      </c>
    </row>
    <row r="199" spans="1:20" x14ac:dyDescent="0.3">
      <c r="A199" s="9"/>
      <c r="B199" s="9"/>
      <c r="C199" s="9"/>
      <c r="D199" s="9"/>
      <c r="E199" s="9"/>
      <c r="F199" s="9"/>
      <c r="G199" s="9"/>
      <c r="H199" s="9"/>
      <c r="I199" s="9"/>
      <c r="J199" s="9"/>
      <c r="K199" s="9"/>
      <c r="L199" s="9"/>
      <c r="M199" s="9"/>
      <c r="N199" s="9"/>
      <c r="O199" s="9"/>
      <c r="P199" s="9"/>
      <c r="Q199" s="9"/>
      <c r="R199" s="10" t="str">
        <f>IF(B199="","",COUNTIF('Part Routes'!$B:$B,B199))</f>
        <v/>
      </c>
      <c r="S199" s="10" t="str">
        <f>IF(B199="","",IF(D199="PV",COUNTIFS('Part Routes'!$B:$B,B199,'Part Routes'!$I:$I,""),IF(D199="HE",COUNTIFS('Part Routes'!$B:$B,B199,'Part Routes'!$J:$J,""),COUNTIFS('Part Routes'!$B:$B,B199,'Part Routes'!$I:$I,"")+COUNTIFS('Part Routes'!$B:$B,B199,'Part Routes'!$J:$J,""))))</f>
        <v/>
      </c>
      <c r="T199" s="10" t="str">
        <f t="shared" si="4"/>
        <v/>
      </c>
    </row>
    <row r="200" spans="1:20" x14ac:dyDescent="0.3">
      <c r="A200" s="9"/>
      <c r="B200" s="9"/>
      <c r="C200" s="9"/>
      <c r="D200" s="9"/>
      <c r="E200" s="9"/>
      <c r="F200" s="9"/>
      <c r="G200" s="9"/>
      <c r="H200" s="9"/>
      <c r="I200" s="9"/>
      <c r="J200" s="9"/>
      <c r="K200" s="9"/>
      <c r="L200" s="9"/>
      <c r="M200" s="9"/>
      <c r="N200" s="9"/>
      <c r="O200" s="9"/>
      <c r="P200" s="9"/>
      <c r="Q200" s="9"/>
      <c r="R200" s="10" t="str">
        <f>IF(B200="","",COUNTIF('Part Routes'!$B:$B,B200))</f>
        <v/>
      </c>
      <c r="S200" s="10" t="str">
        <f>IF(B200="","",IF(D200="PV",COUNTIFS('Part Routes'!$B:$B,B200,'Part Routes'!$I:$I,""),IF(D200="HE",COUNTIFS('Part Routes'!$B:$B,B200,'Part Routes'!$J:$J,""),COUNTIFS('Part Routes'!$B:$B,B200,'Part Routes'!$I:$I,"")+COUNTIFS('Part Routes'!$B:$B,B200,'Part Routes'!$J:$J,""))))</f>
        <v/>
      </c>
      <c r="T200" s="10" t="str">
        <f t="shared" si="4"/>
        <v/>
      </c>
    </row>
    <row r="201" spans="1:20" x14ac:dyDescent="0.3">
      <c r="A201" s="9"/>
      <c r="B201" s="9"/>
      <c r="C201" s="9"/>
      <c r="D201" s="9"/>
      <c r="E201" s="9"/>
      <c r="F201" s="9"/>
      <c r="G201" s="9"/>
      <c r="H201" s="9"/>
      <c r="I201" s="9"/>
      <c r="J201" s="9"/>
      <c r="K201" s="9"/>
      <c r="L201" s="9"/>
      <c r="M201" s="9"/>
      <c r="N201" s="9"/>
      <c r="O201" s="9"/>
      <c r="P201" s="9"/>
      <c r="Q201" s="9"/>
      <c r="R201" s="10" t="str">
        <f>IF(B201="","",COUNTIF('Part Routes'!$B:$B,B201))</f>
        <v/>
      </c>
      <c r="S201" s="10" t="str">
        <f>IF(B201="","",IF(D201="PV",COUNTIFS('Part Routes'!$B:$B,B201,'Part Routes'!$I:$I,""),IF(D201="HE",COUNTIFS('Part Routes'!$B:$B,B201,'Part Routes'!$J:$J,""),COUNTIFS('Part Routes'!$B:$B,B201,'Part Routes'!$I:$I,"")+COUNTIFS('Part Routes'!$B:$B,B201,'Part Routes'!$J:$J,""))))</f>
        <v/>
      </c>
      <c r="T201" s="10" t="str">
        <f t="shared" si="4"/>
        <v/>
      </c>
    </row>
    <row r="202" spans="1:20" x14ac:dyDescent="0.3">
      <c r="A202" s="9"/>
      <c r="B202" s="9"/>
      <c r="C202" s="9"/>
      <c r="D202" s="9"/>
      <c r="E202" s="9"/>
      <c r="F202" s="9"/>
      <c r="G202" s="9"/>
      <c r="H202" s="9"/>
      <c r="I202" s="9"/>
      <c r="J202" s="9"/>
      <c r="K202" s="9"/>
      <c r="L202" s="9"/>
      <c r="M202" s="9"/>
      <c r="N202" s="9"/>
      <c r="O202" s="9"/>
      <c r="P202" s="9"/>
      <c r="Q202" s="9"/>
      <c r="R202" s="10" t="str">
        <f>IF(B202="","",COUNTIF('Part Routes'!$B:$B,B202))</f>
        <v/>
      </c>
      <c r="S202" s="10" t="str">
        <f>IF(B202="","",IF(D202="PV",COUNTIFS('Part Routes'!$B:$B,B202,'Part Routes'!$I:$I,""),IF(D202="HE",COUNTIFS('Part Routes'!$B:$B,B202,'Part Routes'!$J:$J,""),COUNTIFS('Part Routes'!$B:$B,B202,'Part Routes'!$I:$I,"")+COUNTIFS('Part Routes'!$B:$B,B202,'Part Routes'!$J:$J,""))))</f>
        <v/>
      </c>
      <c r="T202" s="10" t="str">
        <f t="shared" si="4"/>
        <v/>
      </c>
    </row>
    <row r="203" spans="1:20" x14ac:dyDescent="0.3">
      <c r="A203" s="9"/>
      <c r="B203" s="9"/>
      <c r="C203" s="9"/>
      <c r="D203" s="9"/>
      <c r="E203" s="9"/>
      <c r="F203" s="9"/>
      <c r="G203" s="9"/>
      <c r="H203" s="9"/>
      <c r="I203" s="9"/>
      <c r="J203" s="9"/>
      <c r="K203" s="9"/>
      <c r="L203" s="9"/>
      <c r="M203" s="9"/>
      <c r="N203" s="9"/>
      <c r="O203" s="9"/>
      <c r="P203" s="9"/>
      <c r="Q203" s="9"/>
      <c r="R203" s="10" t="str">
        <f>IF(B203="","",COUNTIF('Part Routes'!$B:$B,B203))</f>
        <v/>
      </c>
      <c r="S203" s="10" t="str">
        <f>IF(B203="","",IF(D203="PV",COUNTIFS('Part Routes'!$B:$B,B203,'Part Routes'!$I:$I,""),IF(D203="HE",COUNTIFS('Part Routes'!$B:$B,B203,'Part Routes'!$J:$J,""),COUNTIFS('Part Routes'!$B:$B,B203,'Part Routes'!$I:$I,"")+COUNTIFS('Part Routes'!$B:$B,B203,'Part Routes'!$J:$J,""))))</f>
        <v/>
      </c>
      <c r="T203" s="10" t="str">
        <f t="shared" si="4"/>
        <v/>
      </c>
    </row>
    <row r="204" spans="1:20" x14ac:dyDescent="0.3">
      <c r="A204" s="9"/>
      <c r="B204" s="9"/>
      <c r="C204" s="9"/>
      <c r="D204" s="9"/>
      <c r="E204" s="9"/>
      <c r="F204" s="9"/>
      <c r="G204" s="9"/>
      <c r="H204" s="9"/>
      <c r="I204" s="9"/>
      <c r="J204" s="9"/>
      <c r="K204" s="9"/>
      <c r="L204" s="9"/>
      <c r="M204" s="9"/>
      <c r="N204" s="9"/>
      <c r="O204" s="9"/>
      <c r="P204" s="9"/>
      <c r="Q204" s="9"/>
      <c r="R204" s="10" t="str">
        <f>IF(B204="","",COUNTIF('Part Routes'!$B:$B,B204))</f>
        <v/>
      </c>
      <c r="S204" s="10" t="str">
        <f>IF(B204="","",IF(D204="PV",COUNTIFS('Part Routes'!$B:$B,B204,'Part Routes'!$I:$I,""),IF(D204="HE",COUNTIFS('Part Routes'!$B:$B,B204,'Part Routes'!$J:$J,""),COUNTIFS('Part Routes'!$B:$B,B204,'Part Routes'!$I:$I,"")+COUNTIFS('Part Routes'!$B:$B,B204,'Part Routes'!$J:$J,""))))</f>
        <v/>
      </c>
      <c r="T204" s="10" t="str">
        <f t="shared" si="4"/>
        <v/>
      </c>
    </row>
    <row r="205" spans="1:20" x14ac:dyDescent="0.3">
      <c r="A205" s="9"/>
      <c r="B205" s="9"/>
      <c r="C205" s="9"/>
      <c r="D205" s="9"/>
      <c r="E205" s="9"/>
      <c r="F205" s="9"/>
      <c r="G205" s="9"/>
      <c r="H205" s="9"/>
      <c r="I205" s="9"/>
      <c r="J205" s="9"/>
      <c r="K205" s="9"/>
      <c r="L205" s="9"/>
      <c r="M205" s="9"/>
      <c r="N205" s="9"/>
      <c r="O205" s="9"/>
      <c r="P205" s="9"/>
      <c r="Q205" s="9"/>
      <c r="R205" s="10" t="str">
        <f>IF(B205="","",COUNTIF('Part Routes'!$B:$B,B205))</f>
        <v/>
      </c>
      <c r="S205" s="10" t="str">
        <f>IF(B205="","",IF(D205="PV",COUNTIFS('Part Routes'!$B:$B,B205,'Part Routes'!$I:$I,""),IF(D205="HE",COUNTIFS('Part Routes'!$B:$B,B205,'Part Routes'!$J:$J,""),COUNTIFS('Part Routes'!$B:$B,B205,'Part Routes'!$I:$I,"")+COUNTIFS('Part Routes'!$B:$B,B205,'Part Routes'!$J:$J,""))))</f>
        <v/>
      </c>
      <c r="T205" s="10" t="str">
        <f t="shared" si="4"/>
        <v/>
      </c>
    </row>
    <row r="206" spans="1:20" x14ac:dyDescent="0.3">
      <c r="A206" s="9"/>
      <c r="B206" s="9"/>
      <c r="C206" s="9"/>
      <c r="D206" s="9"/>
      <c r="E206" s="9"/>
      <c r="F206" s="9"/>
      <c r="G206" s="9"/>
      <c r="H206" s="9"/>
      <c r="I206" s="9"/>
      <c r="J206" s="9"/>
      <c r="K206" s="9"/>
      <c r="L206" s="9"/>
      <c r="M206" s="9"/>
      <c r="N206" s="9"/>
      <c r="O206" s="9"/>
      <c r="P206" s="9"/>
      <c r="Q206" s="9"/>
      <c r="R206" s="10" t="str">
        <f>IF(B206="","",COUNTIF('Part Routes'!$B:$B,B206))</f>
        <v/>
      </c>
      <c r="S206" s="10" t="str">
        <f>IF(B206="","",IF(D206="PV",COUNTIFS('Part Routes'!$B:$B,B206,'Part Routes'!$I:$I,""),IF(D206="HE",COUNTIFS('Part Routes'!$B:$B,B206,'Part Routes'!$J:$J,""),COUNTIFS('Part Routes'!$B:$B,B206,'Part Routes'!$I:$I,"")+COUNTIFS('Part Routes'!$B:$B,B206,'Part Routes'!$J:$J,""))))</f>
        <v/>
      </c>
      <c r="T206" s="10" t="str">
        <f t="shared" si="4"/>
        <v/>
      </c>
    </row>
    <row r="207" spans="1:20" x14ac:dyDescent="0.3">
      <c r="A207" s="9"/>
      <c r="B207" s="9"/>
      <c r="C207" s="9"/>
      <c r="D207" s="9"/>
      <c r="E207" s="9"/>
      <c r="F207" s="9"/>
      <c r="G207" s="9"/>
      <c r="H207" s="9"/>
      <c r="I207" s="9"/>
      <c r="J207" s="9"/>
      <c r="K207" s="9"/>
      <c r="L207" s="9"/>
      <c r="M207" s="9"/>
      <c r="N207" s="9"/>
      <c r="O207" s="9"/>
      <c r="P207" s="9"/>
      <c r="Q207" s="9"/>
      <c r="R207" s="10" t="str">
        <f>IF(B207="","",COUNTIF('Part Routes'!$B:$B,B207))</f>
        <v/>
      </c>
      <c r="S207" s="10" t="str">
        <f>IF(B207="","",IF(D207="PV",COUNTIFS('Part Routes'!$B:$B,B207,'Part Routes'!$I:$I,""),IF(D207="HE",COUNTIFS('Part Routes'!$B:$B,B207,'Part Routes'!$J:$J,""),COUNTIFS('Part Routes'!$B:$B,B207,'Part Routes'!$I:$I,"")+COUNTIFS('Part Routes'!$B:$B,B207,'Part Routes'!$J:$J,""))))</f>
        <v/>
      </c>
      <c r="T207" s="10" t="str">
        <f t="shared" si="4"/>
        <v/>
      </c>
    </row>
    <row r="208" spans="1:20" x14ac:dyDescent="0.3">
      <c r="A208" s="9"/>
      <c r="B208" s="9"/>
      <c r="C208" s="9"/>
      <c r="D208" s="9"/>
      <c r="E208" s="9"/>
      <c r="F208" s="9"/>
      <c r="G208" s="9"/>
      <c r="H208" s="9"/>
      <c r="I208" s="9"/>
      <c r="J208" s="9"/>
      <c r="K208" s="9"/>
      <c r="L208" s="9"/>
      <c r="M208" s="9"/>
      <c r="N208" s="9"/>
      <c r="O208" s="9"/>
      <c r="P208" s="9"/>
      <c r="Q208" s="9"/>
      <c r="R208" s="10" t="str">
        <f>IF(B208="","",COUNTIF('Part Routes'!$B:$B,B208))</f>
        <v/>
      </c>
      <c r="S208" s="10" t="str">
        <f>IF(B208="","",IF(D208="PV",COUNTIFS('Part Routes'!$B:$B,B208,'Part Routes'!$I:$I,""),IF(D208="HE",COUNTIFS('Part Routes'!$B:$B,B208,'Part Routes'!$J:$J,""),COUNTIFS('Part Routes'!$B:$B,B208,'Part Routes'!$I:$I,"")+COUNTIFS('Part Routes'!$B:$B,B208,'Part Routes'!$J:$J,""))))</f>
        <v/>
      </c>
      <c r="T208" s="10" t="str">
        <f t="shared" si="4"/>
        <v/>
      </c>
    </row>
    <row r="209" spans="1:20" x14ac:dyDescent="0.3">
      <c r="A209" s="9"/>
      <c r="B209" s="9"/>
      <c r="C209" s="9"/>
      <c r="D209" s="9"/>
      <c r="E209" s="9"/>
      <c r="F209" s="9"/>
      <c r="G209" s="9"/>
      <c r="H209" s="9"/>
      <c r="I209" s="9"/>
      <c r="J209" s="9"/>
      <c r="K209" s="9"/>
      <c r="L209" s="9"/>
      <c r="M209" s="9"/>
      <c r="N209" s="9"/>
      <c r="O209" s="9"/>
      <c r="P209" s="9"/>
      <c r="Q209" s="9"/>
      <c r="R209" s="10" t="str">
        <f>IF(B209="","",COUNTIF('Part Routes'!$B:$B,B209))</f>
        <v/>
      </c>
      <c r="S209" s="10" t="str">
        <f>IF(B209="","",IF(D209="PV",COUNTIFS('Part Routes'!$B:$B,B209,'Part Routes'!$I:$I,""),IF(D209="HE",COUNTIFS('Part Routes'!$B:$B,B209,'Part Routes'!$J:$J,""),COUNTIFS('Part Routes'!$B:$B,B209,'Part Routes'!$I:$I,"")+COUNTIFS('Part Routes'!$B:$B,B209,'Part Routes'!$J:$J,""))))</f>
        <v/>
      </c>
      <c r="T209" s="10" t="str">
        <f t="shared" si="4"/>
        <v/>
      </c>
    </row>
    <row r="210" spans="1:20" x14ac:dyDescent="0.3">
      <c r="A210" s="9"/>
      <c r="B210" s="9"/>
      <c r="C210" s="9"/>
      <c r="D210" s="9"/>
      <c r="E210" s="9"/>
      <c r="F210" s="9"/>
      <c r="G210" s="9"/>
      <c r="H210" s="9"/>
      <c r="I210" s="9"/>
      <c r="J210" s="9"/>
      <c r="K210" s="9"/>
      <c r="L210" s="9"/>
      <c r="M210" s="9"/>
      <c r="N210" s="9"/>
      <c r="O210" s="9"/>
      <c r="P210" s="9"/>
      <c r="Q210" s="9"/>
      <c r="R210" s="10" t="str">
        <f>IF(B210="","",COUNTIF('Part Routes'!$B:$B,B210))</f>
        <v/>
      </c>
      <c r="S210" s="10" t="str">
        <f>IF(B210="","",IF(D210="PV",COUNTIFS('Part Routes'!$B:$B,B210,'Part Routes'!$I:$I,""),IF(D210="HE",COUNTIFS('Part Routes'!$B:$B,B210,'Part Routes'!$J:$J,""),COUNTIFS('Part Routes'!$B:$B,B210,'Part Routes'!$I:$I,"")+COUNTIFS('Part Routes'!$B:$B,B210,'Part Routes'!$J:$J,""))))</f>
        <v/>
      </c>
      <c r="T210" s="10" t="str">
        <f t="shared" si="4"/>
        <v/>
      </c>
    </row>
    <row r="211" spans="1:20" x14ac:dyDescent="0.3">
      <c r="A211" s="9"/>
      <c r="B211" s="9"/>
      <c r="C211" s="9"/>
      <c r="D211" s="9"/>
      <c r="E211" s="9"/>
      <c r="F211" s="9"/>
      <c r="G211" s="9"/>
      <c r="H211" s="9"/>
      <c r="I211" s="9"/>
      <c r="J211" s="9"/>
      <c r="K211" s="9"/>
      <c r="L211" s="9"/>
      <c r="M211" s="9"/>
      <c r="N211" s="9"/>
      <c r="O211" s="9"/>
      <c r="P211" s="9"/>
      <c r="Q211" s="9"/>
      <c r="R211" s="10" t="str">
        <f>IF(B211="","",COUNTIF('Part Routes'!$B:$B,B211))</f>
        <v/>
      </c>
      <c r="S211" s="10" t="str">
        <f>IF(B211="","",IF(D211="PV",COUNTIFS('Part Routes'!$B:$B,B211,'Part Routes'!$I:$I,""),IF(D211="HE",COUNTIFS('Part Routes'!$B:$B,B211,'Part Routes'!$J:$J,""),COUNTIFS('Part Routes'!$B:$B,B211,'Part Routes'!$I:$I,"")+COUNTIFS('Part Routes'!$B:$B,B211,'Part Routes'!$J:$J,""))))</f>
        <v/>
      </c>
      <c r="T211" s="10" t="str">
        <f t="shared" si="4"/>
        <v/>
      </c>
    </row>
    <row r="212" spans="1:20" x14ac:dyDescent="0.3">
      <c r="A212" s="9"/>
      <c r="B212" s="9"/>
      <c r="C212" s="9"/>
      <c r="D212" s="9"/>
      <c r="E212" s="9"/>
      <c r="F212" s="9"/>
      <c r="G212" s="9"/>
      <c r="H212" s="9"/>
      <c r="I212" s="9"/>
      <c r="J212" s="9"/>
      <c r="K212" s="9"/>
      <c r="L212" s="9"/>
      <c r="M212" s="9"/>
      <c r="N212" s="9"/>
      <c r="O212" s="9"/>
      <c r="P212" s="9"/>
      <c r="Q212" s="9"/>
      <c r="R212" s="10" t="str">
        <f>IF(B212="","",COUNTIF('Part Routes'!$B:$B,B212))</f>
        <v/>
      </c>
      <c r="S212" s="10" t="str">
        <f>IF(B212="","",IF(D212="PV",COUNTIFS('Part Routes'!$B:$B,B212,'Part Routes'!$I:$I,""),IF(D212="HE",COUNTIFS('Part Routes'!$B:$B,B212,'Part Routes'!$J:$J,""),COUNTIFS('Part Routes'!$B:$B,B212,'Part Routes'!$I:$I,"")+COUNTIFS('Part Routes'!$B:$B,B212,'Part Routes'!$J:$J,""))))</f>
        <v/>
      </c>
      <c r="T212" s="10" t="str">
        <f t="shared" si="4"/>
        <v/>
      </c>
    </row>
    <row r="213" spans="1:20" x14ac:dyDescent="0.3">
      <c r="A213" s="9"/>
      <c r="B213" s="9"/>
      <c r="C213" s="9"/>
      <c r="D213" s="9"/>
      <c r="E213" s="9"/>
      <c r="F213" s="9"/>
      <c r="G213" s="9"/>
      <c r="H213" s="9"/>
      <c r="I213" s="9"/>
      <c r="J213" s="9"/>
      <c r="K213" s="9"/>
      <c r="L213" s="9"/>
      <c r="M213" s="9"/>
      <c r="N213" s="9"/>
      <c r="O213" s="9"/>
      <c r="P213" s="9"/>
      <c r="Q213" s="9"/>
      <c r="R213" s="10" t="str">
        <f>IF(B213="","",COUNTIF('Part Routes'!$B:$B,B213))</f>
        <v/>
      </c>
      <c r="S213" s="10" t="str">
        <f>IF(B213="","",IF(D213="PV",COUNTIFS('Part Routes'!$B:$B,B213,'Part Routes'!$I:$I,""),IF(D213="HE",COUNTIFS('Part Routes'!$B:$B,B213,'Part Routes'!$J:$J,""),COUNTIFS('Part Routes'!$B:$B,B213,'Part Routes'!$I:$I,"")+COUNTIFS('Part Routes'!$B:$B,B213,'Part Routes'!$J:$J,""))))</f>
        <v/>
      </c>
      <c r="T213" s="10" t="str">
        <f t="shared" si="4"/>
        <v/>
      </c>
    </row>
    <row r="214" spans="1:20" x14ac:dyDescent="0.3">
      <c r="A214" s="9"/>
      <c r="B214" s="9"/>
      <c r="C214" s="9"/>
      <c r="D214" s="9"/>
      <c r="E214" s="9"/>
      <c r="F214" s="9"/>
      <c r="G214" s="9"/>
      <c r="H214" s="9"/>
      <c r="I214" s="9"/>
      <c r="J214" s="9"/>
      <c r="K214" s="9"/>
      <c r="L214" s="9"/>
      <c r="M214" s="9"/>
      <c r="N214" s="9"/>
      <c r="O214" s="9"/>
      <c r="P214" s="9"/>
      <c r="Q214" s="9"/>
      <c r="R214" s="10" t="str">
        <f>IF(B214="","",COUNTIF('Part Routes'!$B:$B,B214))</f>
        <v/>
      </c>
      <c r="S214" s="10" t="str">
        <f>IF(B214="","",IF(D214="PV",COUNTIFS('Part Routes'!$B:$B,B214,'Part Routes'!$I:$I,""),IF(D214="HE",COUNTIFS('Part Routes'!$B:$B,B214,'Part Routes'!$J:$J,""),COUNTIFS('Part Routes'!$B:$B,B214,'Part Routes'!$I:$I,"")+COUNTIFS('Part Routes'!$B:$B,B214,'Part Routes'!$J:$J,""))))</f>
        <v/>
      </c>
      <c r="T214" s="10" t="str">
        <f t="shared" si="4"/>
        <v/>
      </c>
    </row>
    <row r="215" spans="1:20" x14ac:dyDescent="0.3">
      <c r="A215" s="9"/>
      <c r="B215" s="9"/>
      <c r="C215" s="9"/>
      <c r="D215" s="9"/>
      <c r="E215" s="9"/>
      <c r="F215" s="9"/>
      <c r="G215" s="9"/>
      <c r="H215" s="9"/>
      <c r="I215" s="9"/>
      <c r="J215" s="9"/>
      <c r="K215" s="9"/>
      <c r="L215" s="9"/>
      <c r="M215" s="9"/>
      <c r="N215" s="9"/>
      <c r="O215" s="9"/>
      <c r="P215" s="9"/>
      <c r="Q215" s="9"/>
      <c r="R215" s="10" t="str">
        <f>IF(B215="","",COUNTIF('Part Routes'!$B:$B,B215))</f>
        <v/>
      </c>
      <c r="S215" s="10" t="str">
        <f>IF(B215="","",IF(D215="PV",COUNTIFS('Part Routes'!$B:$B,B215,'Part Routes'!$I:$I,""),IF(D215="HE",COUNTIFS('Part Routes'!$B:$B,B215,'Part Routes'!$J:$J,""),COUNTIFS('Part Routes'!$B:$B,B215,'Part Routes'!$I:$I,"")+COUNTIFS('Part Routes'!$B:$B,B215,'Part Routes'!$J:$J,""))))</f>
        <v/>
      </c>
      <c r="T215" s="10" t="str">
        <f t="shared" si="4"/>
        <v/>
      </c>
    </row>
    <row r="216" spans="1:20" x14ac:dyDescent="0.3">
      <c r="A216" s="9"/>
      <c r="B216" s="9"/>
      <c r="C216" s="9"/>
      <c r="D216" s="9"/>
      <c r="E216" s="9"/>
      <c r="F216" s="9"/>
      <c r="G216" s="9"/>
      <c r="H216" s="9"/>
      <c r="I216" s="9"/>
      <c r="J216" s="9"/>
      <c r="K216" s="9"/>
      <c r="L216" s="9"/>
      <c r="M216" s="9"/>
      <c r="N216" s="9"/>
      <c r="O216" s="9"/>
      <c r="P216" s="9"/>
      <c r="Q216" s="9"/>
      <c r="R216" s="10" t="str">
        <f>IF(B216="","",COUNTIF('Part Routes'!$B:$B,B216))</f>
        <v/>
      </c>
      <c r="S216" s="10" t="str">
        <f>IF(B216="","",IF(D216="PV",COUNTIFS('Part Routes'!$B:$B,B216,'Part Routes'!$I:$I,""),IF(D216="HE",COUNTIFS('Part Routes'!$B:$B,B216,'Part Routes'!$J:$J,""),COUNTIFS('Part Routes'!$B:$B,B216,'Part Routes'!$I:$I,"")+COUNTIFS('Part Routes'!$B:$B,B216,'Part Routes'!$J:$J,""))))</f>
        <v/>
      </c>
      <c r="T216" s="10" t="str">
        <f t="shared" si="4"/>
        <v/>
      </c>
    </row>
    <row r="217" spans="1:20" x14ac:dyDescent="0.3">
      <c r="A217" s="9"/>
      <c r="B217" s="9"/>
      <c r="C217" s="9"/>
      <c r="D217" s="9"/>
      <c r="E217" s="9"/>
      <c r="F217" s="9"/>
      <c r="G217" s="9"/>
      <c r="H217" s="9"/>
      <c r="I217" s="9"/>
      <c r="J217" s="9"/>
      <c r="K217" s="9"/>
      <c r="L217" s="9"/>
      <c r="M217" s="9"/>
      <c r="N217" s="9"/>
      <c r="O217" s="9"/>
      <c r="P217" s="9"/>
      <c r="Q217" s="9"/>
      <c r="R217" s="10" t="str">
        <f>IF(B217="","",COUNTIF('Part Routes'!$B:$B,B217))</f>
        <v/>
      </c>
      <c r="S217" s="10" t="str">
        <f>IF(B217="","",IF(D217="PV",COUNTIFS('Part Routes'!$B:$B,B217,'Part Routes'!$I:$I,""),IF(D217="HE",COUNTIFS('Part Routes'!$B:$B,B217,'Part Routes'!$J:$J,""),COUNTIFS('Part Routes'!$B:$B,B217,'Part Routes'!$I:$I,"")+COUNTIFS('Part Routes'!$B:$B,B217,'Part Routes'!$J:$J,""))))</f>
        <v/>
      </c>
      <c r="T217" s="10" t="str">
        <f t="shared" si="4"/>
        <v/>
      </c>
    </row>
    <row r="218" spans="1:20" x14ac:dyDescent="0.3">
      <c r="A218" s="9"/>
      <c r="B218" s="9"/>
      <c r="C218" s="9"/>
      <c r="D218" s="9"/>
      <c r="E218" s="9"/>
      <c r="F218" s="9"/>
      <c r="G218" s="9"/>
      <c r="H218" s="9"/>
      <c r="I218" s="9"/>
      <c r="J218" s="9"/>
      <c r="K218" s="9"/>
      <c r="L218" s="9"/>
      <c r="M218" s="9"/>
      <c r="N218" s="9"/>
      <c r="O218" s="9"/>
      <c r="P218" s="9"/>
      <c r="Q218" s="9"/>
      <c r="R218" s="10" t="str">
        <f>IF(B218="","",COUNTIF('Part Routes'!$B:$B,B218))</f>
        <v/>
      </c>
      <c r="S218" s="10" t="str">
        <f>IF(B218="","",IF(D218="PV",COUNTIFS('Part Routes'!$B:$B,B218,'Part Routes'!$I:$I,""),IF(D218="HE",COUNTIFS('Part Routes'!$B:$B,B218,'Part Routes'!$J:$J,""),COUNTIFS('Part Routes'!$B:$B,B218,'Part Routes'!$I:$I,"")+COUNTIFS('Part Routes'!$B:$B,B218,'Part Routes'!$J:$J,""))))</f>
        <v/>
      </c>
      <c r="T218" s="10" t="str">
        <f t="shared" si="4"/>
        <v/>
      </c>
    </row>
    <row r="219" spans="1:20" x14ac:dyDescent="0.3">
      <c r="A219" s="9"/>
      <c r="B219" s="9"/>
      <c r="C219" s="9"/>
      <c r="D219" s="9"/>
      <c r="E219" s="9"/>
      <c r="F219" s="9"/>
      <c r="G219" s="9"/>
      <c r="H219" s="9"/>
      <c r="I219" s="9"/>
      <c r="J219" s="9"/>
      <c r="K219" s="9"/>
      <c r="L219" s="9"/>
      <c r="M219" s="9"/>
      <c r="N219" s="9"/>
      <c r="O219" s="9"/>
      <c r="P219" s="9"/>
      <c r="Q219" s="9"/>
      <c r="R219" s="10" t="str">
        <f>IF(B219="","",COUNTIF('Part Routes'!$B:$B,B219))</f>
        <v/>
      </c>
      <c r="S219" s="10" t="str">
        <f>IF(B219="","",IF(D219="PV",COUNTIFS('Part Routes'!$B:$B,B219,'Part Routes'!$I:$I,""),IF(D219="HE",COUNTIFS('Part Routes'!$B:$B,B219,'Part Routes'!$J:$J,""),COUNTIFS('Part Routes'!$B:$B,B219,'Part Routes'!$I:$I,"")+COUNTIFS('Part Routes'!$B:$B,B219,'Part Routes'!$J:$J,""))))</f>
        <v/>
      </c>
      <c r="T219" s="10" t="str">
        <f t="shared" si="4"/>
        <v/>
      </c>
    </row>
    <row r="220" spans="1:20" x14ac:dyDescent="0.3">
      <c r="A220" s="9"/>
      <c r="B220" s="9"/>
      <c r="C220" s="9"/>
      <c r="D220" s="9"/>
      <c r="E220" s="9"/>
      <c r="F220" s="9"/>
      <c r="G220" s="9"/>
      <c r="H220" s="9"/>
      <c r="I220" s="9"/>
      <c r="J220" s="9"/>
      <c r="K220" s="9"/>
      <c r="L220" s="9"/>
      <c r="M220" s="9"/>
      <c r="N220" s="9"/>
      <c r="O220" s="9"/>
      <c r="P220" s="9"/>
      <c r="Q220" s="9"/>
      <c r="R220" s="10" t="str">
        <f>IF(B220="","",COUNTIF('Part Routes'!$B:$B,B220))</f>
        <v/>
      </c>
      <c r="S220" s="10" t="str">
        <f>IF(B220="","",IF(D220="PV",COUNTIFS('Part Routes'!$B:$B,B220,'Part Routes'!$I:$I,""),IF(D220="HE",COUNTIFS('Part Routes'!$B:$B,B220,'Part Routes'!$J:$J,""),COUNTIFS('Part Routes'!$B:$B,B220,'Part Routes'!$I:$I,"")+COUNTIFS('Part Routes'!$B:$B,B220,'Part Routes'!$J:$J,""))))</f>
        <v/>
      </c>
      <c r="T220" s="10" t="str">
        <f t="shared" si="4"/>
        <v/>
      </c>
    </row>
    <row r="221" spans="1:20" x14ac:dyDescent="0.3">
      <c r="A221" s="9"/>
      <c r="B221" s="9"/>
      <c r="C221" s="9"/>
      <c r="D221" s="9"/>
      <c r="E221" s="9"/>
      <c r="F221" s="9"/>
      <c r="G221" s="9"/>
      <c r="H221" s="9"/>
      <c r="I221" s="9"/>
      <c r="J221" s="9"/>
      <c r="K221" s="9"/>
      <c r="L221" s="9"/>
      <c r="M221" s="9"/>
      <c r="N221" s="9"/>
      <c r="O221" s="9"/>
      <c r="P221" s="9"/>
      <c r="Q221" s="9"/>
      <c r="R221" s="10" t="str">
        <f>IF(B221="","",COUNTIF('Part Routes'!$B:$B,B221))</f>
        <v/>
      </c>
      <c r="S221" s="10" t="str">
        <f>IF(B221="","",IF(D221="PV",COUNTIFS('Part Routes'!$B:$B,B221,'Part Routes'!$I:$I,""),IF(D221="HE",COUNTIFS('Part Routes'!$B:$B,B221,'Part Routes'!$J:$J,""),COUNTIFS('Part Routes'!$B:$B,B221,'Part Routes'!$I:$I,"")+COUNTIFS('Part Routes'!$B:$B,B221,'Part Routes'!$J:$J,""))))</f>
        <v/>
      </c>
      <c r="T221" s="10" t="str">
        <f t="shared" si="4"/>
        <v/>
      </c>
    </row>
    <row r="222" spans="1:20" x14ac:dyDescent="0.3">
      <c r="A222" s="9"/>
      <c r="B222" s="9"/>
      <c r="C222" s="9"/>
      <c r="D222" s="9"/>
      <c r="E222" s="9"/>
      <c r="F222" s="9"/>
      <c r="G222" s="9"/>
      <c r="H222" s="9"/>
      <c r="I222" s="9"/>
      <c r="J222" s="9"/>
      <c r="K222" s="9"/>
      <c r="L222" s="9"/>
      <c r="M222" s="9"/>
      <c r="N222" s="9"/>
      <c r="O222" s="9"/>
      <c r="P222" s="9"/>
      <c r="Q222" s="9"/>
      <c r="R222" s="10" t="str">
        <f>IF(B222="","",COUNTIF('Part Routes'!$B:$B,B222))</f>
        <v/>
      </c>
      <c r="S222" s="10" t="str">
        <f>IF(B222="","",IF(D222="PV",COUNTIFS('Part Routes'!$B:$B,B222,'Part Routes'!$I:$I,""),IF(D222="HE",COUNTIFS('Part Routes'!$B:$B,B222,'Part Routes'!$J:$J,""),COUNTIFS('Part Routes'!$B:$B,B222,'Part Routes'!$I:$I,"")+COUNTIFS('Part Routes'!$B:$B,B222,'Part Routes'!$J:$J,""))))</f>
        <v/>
      </c>
      <c r="T222" s="10" t="str">
        <f t="shared" si="4"/>
        <v/>
      </c>
    </row>
    <row r="223" spans="1:20" x14ac:dyDescent="0.3">
      <c r="A223" s="9"/>
      <c r="B223" s="9"/>
      <c r="C223" s="9"/>
      <c r="D223" s="9"/>
      <c r="E223" s="9"/>
      <c r="F223" s="9"/>
      <c r="G223" s="9"/>
      <c r="H223" s="9"/>
      <c r="I223" s="9"/>
      <c r="J223" s="9"/>
      <c r="K223" s="9"/>
      <c r="L223" s="9"/>
      <c r="M223" s="9"/>
      <c r="N223" s="9"/>
      <c r="O223" s="9"/>
      <c r="P223" s="9"/>
      <c r="Q223" s="9"/>
      <c r="R223" s="10" t="str">
        <f>IF(B223="","",COUNTIF('Part Routes'!$B:$B,B223))</f>
        <v/>
      </c>
      <c r="S223" s="10" t="str">
        <f>IF(B223="","",IF(D223="PV",COUNTIFS('Part Routes'!$B:$B,B223,'Part Routes'!$I:$I,""),IF(D223="HE",COUNTIFS('Part Routes'!$B:$B,B223,'Part Routes'!$J:$J,""),COUNTIFS('Part Routes'!$B:$B,B223,'Part Routes'!$I:$I,"")+COUNTIFS('Part Routes'!$B:$B,B223,'Part Routes'!$J:$J,""))))</f>
        <v/>
      </c>
      <c r="T223" s="10" t="str">
        <f t="shared" si="4"/>
        <v/>
      </c>
    </row>
    <row r="224" spans="1:20" x14ac:dyDescent="0.3">
      <c r="A224" s="9"/>
      <c r="B224" s="9"/>
      <c r="C224" s="9"/>
      <c r="D224" s="9"/>
      <c r="E224" s="9"/>
      <c r="F224" s="9"/>
      <c r="G224" s="9"/>
      <c r="H224" s="9"/>
      <c r="I224" s="9"/>
      <c r="J224" s="9"/>
      <c r="K224" s="9"/>
      <c r="L224" s="9"/>
      <c r="M224" s="9"/>
      <c r="N224" s="9"/>
      <c r="O224" s="9"/>
      <c r="P224" s="9"/>
      <c r="Q224" s="9"/>
      <c r="R224" s="10" t="str">
        <f>IF(B224="","",COUNTIF('Part Routes'!$B:$B,B224))</f>
        <v/>
      </c>
      <c r="S224" s="10" t="str">
        <f>IF(B224="","",IF(D224="PV",COUNTIFS('Part Routes'!$B:$B,B224,'Part Routes'!$I:$I,""),IF(D224="HE",COUNTIFS('Part Routes'!$B:$B,B224,'Part Routes'!$J:$J,""),COUNTIFS('Part Routes'!$B:$B,B224,'Part Routes'!$I:$I,"")+COUNTIFS('Part Routes'!$B:$B,B224,'Part Routes'!$J:$J,""))))</f>
        <v/>
      </c>
      <c r="T224" s="10" t="str">
        <f t="shared" si="4"/>
        <v/>
      </c>
    </row>
    <row r="225" spans="1:20" x14ac:dyDescent="0.3">
      <c r="A225" s="9"/>
      <c r="B225" s="9"/>
      <c r="C225" s="9"/>
      <c r="D225" s="9"/>
      <c r="E225" s="9"/>
      <c r="F225" s="9"/>
      <c r="G225" s="9"/>
      <c r="H225" s="9"/>
      <c r="I225" s="9"/>
      <c r="J225" s="9"/>
      <c r="K225" s="9"/>
      <c r="L225" s="9"/>
      <c r="M225" s="9"/>
      <c r="N225" s="9"/>
      <c r="O225" s="9"/>
      <c r="P225" s="9"/>
      <c r="Q225" s="9"/>
      <c r="R225" s="10" t="str">
        <f>IF(B225="","",COUNTIF('Part Routes'!$B:$B,B225))</f>
        <v/>
      </c>
      <c r="S225" s="10" t="str">
        <f>IF(B225="","",IF(D225="PV",COUNTIFS('Part Routes'!$B:$B,B225,'Part Routes'!$I:$I,""),IF(D225="HE",COUNTIFS('Part Routes'!$B:$B,B225,'Part Routes'!$J:$J,""),COUNTIFS('Part Routes'!$B:$B,B225,'Part Routes'!$I:$I,"")+COUNTIFS('Part Routes'!$B:$B,B225,'Part Routes'!$J:$J,""))))</f>
        <v/>
      </c>
      <c r="T225" s="10" t="str">
        <f t="shared" si="4"/>
        <v/>
      </c>
    </row>
    <row r="226" spans="1:20" x14ac:dyDescent="0.3">
      <c r="A226" s="9"/>
      <c r="B226" s="9"/>
      <c r="C226" s="9"/>
      <c r="D226" s="9"/>
      <c r="E226" s="9"/>
      <c r="F226" s="9"/>
      <c r="G226" s="9"/>
      <c r="H226" s="9"/>
      <c r="I226" s="9"/>
      <c r="J226" s="9"/>
      <c r="K226" s="9"/>
      <c r="L226" s="9"/>
      <c r="M226" s="9"/>
      <c r="N226" s="9"/>
      <c r="O226" s="9"/>
      <c r="P226" s="9"/>
      <c r="Q226" s="9"/>
      <c r="R226" s="10" t="str">
        <f>IF(B226="","",COUNTIF('Part Routes'!$B:$B,B226))</f>
        <v/>
      </c>
      <c r="S226" s="10" t="str">
        <f>IF(B226="","",IF(D226="PV",COUNTIFS('Part Routes'!$B:$B,B226,'Part Routes'!$I:$I,""),IF(D226="HE",COUNTIFS('Part Routes'!$B:$B,B226,'Part Routes'!$J:$J,""),COUNTIFS('Part Routes'!$B:$B,B226,'Part Routes'!$I:$I,"")+COUNTIFS('Part Routes'!$B:$B,B226,'Part Routes'!$J:$J,""))))</f>
        <v/>
      </c>
      <c r="T226" s="10" t="str">
        <f t="shared" si="4"/>
        <v/>
      </c>
    </row>
    <row r="227" spans="1:20" x14ac:dyDescent="0.3">
      <c r="A227" s="9"/>
      <c r="B227" s="9"/>
      <c r="C227" s="9"/>
      <c r="D227" s="9"/>
      <c r="E227" s="9"/>
      <c r="F227" s="9"/>
      <c r="G227" s="9"/>
      <c r="H227" s="9"/>
      <c r="I227" s="9"/>
      <c r="J227" s="9"/>
      <c r="K227" s="9"/>
      <c r="L227" s="9"/>
      <c r="M227" s="9"/>
      <c r="N227" s="9"/>
      <c r="O227" s="9"/>
      <c r="P227" s="9"/>
      <c r="Q227" s="9"/>
      <c r="R227" s="10" t="str">
        <f>IF(B227="","",COUNTIF('Part Routes'!$B:$B,B227))</f>
        <v/>
      </c>
      <c r="S227" s="10" t="str">
        <f>IF(B227="","",IF(D227="PV",COUNTIFS('Part Routes'!$B:$B,B227,'Part Routes'!$I:$I,""),IF(D227="HE",COUNTIFS('Part Routes'!$B:$B,B227,'Part Routes'!$J:$J,""),COUNTIFS('Part Routes'!$B:$B,B227,'Part Routes'!$I:$I,"")+COUNTIFS('Part Routes'!$B:$B,B227,'Part Routes'!$J:$J,""))))</f>
        <v/>
      </c>
      <c r="T227" s="10" t="str">
        <f t="shared" si="4"/>
        <v/>
      </c>
    </row>
    <row r="228" spans="1:20" x14ac:dyDescent="0.3">
      <c r="A228" s="9"/>
      <c r="B228" s="9"/>
      <c r="C228" s="9"/>
      <c r="D228" s="9"/>
      <c r="E228" s="9"/>
      <c r="F228" s="9"/>
      <c r="G228" s="9"/>
      <c r="H228" s="9"/>
      <c r="I228" s="9"/>
      <c r="J228" s="9"/>
      <c r="K228" s="9"/>
      <c r="L228" s="9"/>
      <c r="M228" s="9"/>
      <c r="N228" s="9"/>
      <c r="O228" s="9"/>
      <c r="P228" s="9"/>
      <c r="Q228" s="9"/>
      <c r="R228" s="10" t="str">
        <f>IF(B228="","",COUNTIF('Part Routes'!$B:$B,B228))</f>
        <v/>
      </c>
      <c r="S228" s="10" t="str">
        <f>IF(B228="","",IF(D228="PV",COUNTIFS('Part Routes'!$B:$B,B228,'Part Routes'!$I:$I,""),IF(D228="HE",COUNTIFS('Part Routes'!$B:$B,B228,'Part Routes'!$J:$J,""),COUNTIFS('Part Routes'!$B:$B,B228,'Part Routes'!$I:$I,"")+COUNTIFS('Part Routes'!$B:$B,B228,'Part Routes'!$J:$J,""))))</f>
        <v/>
      </c>
      <c r="T228" s="10" t="str">
        <f t="shared" si="4"/>
        <v/>
      </c>
    </row>
    <row r="229" spans="1:20" x14ac:dyDescent="0.3">
      <c r="A229" s="9"/>
      <c r="B229" s="9"/>
      <c r="C229" s="9"/>
      <c r="D229" s="9"/>
      <c r="E229" s="9"/>
      <c r="F229" s="9"/>
      <c r="G229" s="9"/>
      <c r="H229" s="9"/>
      <c r="I229" s="9"/>
      <c r="J229" s="9"/>
      <c r="K229" s="9"/>
      <c r="L229" s="9"/>
      <c r="M229" s="9"/>
      <c r="N229" s="9"/>
      <c r="O229" s="9"/>
      <c r="P229" s="9"/>
      <c r="Q229" s="9"/>
      <c r="R229" s="10" t="str">
        <f>IF(B229="","",COUNTIF('Part Routes'!$B:$B,B229))</f>
        <v/>
      </c>
      <c r="S229" s="10" t="str">
        <f>IF(B229="","",IF(D229="PV",COUNTIFS('Part Routes'!$B:$B,B229,'Part Routes'!$I:$I,""),IF(D229="HE",COUNTIFS('Part Routes'!$B:$B,B229,'Part Routes'!$J:$J,""),COUNTIFS('Part Routes'!$B:$B,B229,'Part Routes'!$I:$I,"")+COUNTIFS('Part Routes'!$B:$B,B229,'Part Routes'!$J:$J,""))))</f>
        <v/>
      </c>
      <c r="T229" s="10" t="str">
        <f t="shared" si="4"/>
        <v/>
      </c>
    </row>
    <row r="230" spans="1:20" x14ac:dyDescent="0.3">
      <c r="A230" s="9"/>
      <c r="B230" s="9"/>
      <c r="C230" s="9"/>
      <c r="D230" s="9"/>
      <c r="E230" s="9"/>
      <c r="F230" s="9"/>
      <c r="G230" s="9"/>
      <c r="H230" s="9"/>
      <c r="I230" s="9"/>
      <c r="J230" s="9"/>
      <c r="K230" s="9"/>
      <c r="L230" s="9"/>
      <c r="M230" s="9"/>
      <c r="N230" s="9"/>
      <c r="O230" s="9"/>
      <c r="P230" s="9"/>
      <c r="Q230" s="9"/>
      <c r="R230" s="10" t="str">
        <f>IF(B230="","",COUNTIF('Part Routes'!$B:$B,B230))</f>
        <v/>
      </c>
      <c r="S230" s="10" t="str">
        <f>IF(B230="","",IF(D230="PV",COUNTIFS('Part Routes'!$B:$B,B230,'Part Routes'!$I:$I,""),IF(D230="HE",COUNTIFS('Part Routes'!$B:$B,B230,'Part Routes'!$J:$J,""),COUNTIFS('Part Routes'!$B:$B,B230,'Part Routes'!$I:$I,"")+COUNTIFS('Part Routes'!$B:$B,B230,'Part Routes'!$J:$J,""))))</f>
        <v/>
      </c>
      <c r="T230" s="10" t="str">
        <f t="shared" si="4"/>
        <v/>
      </c>
    </row>
    <row r="231" spans="1:20" x14ac:dyDescent="0.3">
      <c r="A231" s="9"/>
      <c r="B231" s="9"/>
      <c r="C231" s="9"/>
      <c r="D231" s="9"/>
      <c r="E231" s="9"/>
      <c r="F231" s="9"/>
      <c r="G231" s="9"/>
      <c r="H231" s="9"/>
      <c r="I231" s="9"/>
      <c r="J231" s="9"/>
      <c r="K231" s="9"/>
      <c r="L231" s="9"/>
      <c r="M231" s="9"/>
      <c r="N231" s="9"/>
      <c r="O231" s="9"/>
      <c r="P231" s="9"/>
      <c r="Q231" s="9"/>
      <c r="R231" s="10" t="str">
        <f>IF(B231="","",COUNTIF('Part Routes'!$B:$B,B231))</f>
        <v/>
      </c>
      <c r="S231" s="10" t="str">
        <f>IF(B231="","",IF(D231="PV",COUNTIFS('Part Routes'!$B:$B,B231,'Part Routes'!$I:$I,""),IF(D231="HE",COUNTIFS('Part Routes'!$B:$B,B231,'Part Routes'!$J:$J,""),COUNTIFS('Part Routes'!$B:$B,B231,'Part Routes'!$I:$I,"")+COUNTIFS('Part Routes'!$B:$B,B231,'Part Routes'!$J:$J,""))))</f>
        <v/>
      </c>
      <c r="T231" s="10" t="str">
        <f t="shared" si="4"/>
        <v/>
      </c>
    </row>
    <row r="232" spans="1:20" x14ac:dyDescent="0.3">
      <c r="A232" s="9"/>
      <c r="B232" s="9"/>
      <c r="C232" s="9"/>
      <c r="D232" s="9"/>
      <c r="E232" s="9"/>
      <c r="F232" s="9"/>
      <c r="G232" s="9"/>
      <c r="H232" s="9"/>
      <c r="I232" s="9"/>
      <c r="J232" s="9"/>
      <c r="K232" s="9"/>
      <c r="L232" s="9"/>
      <c r="M232" s="9"/>
      <c r="N232" s="9"/>
      <c r="O232" s="9"/>
      <c r="P232" s="9"/>
      <c r="Q232" s="9"/>
      <c r="R232" s="10" t="str">
        <f>IF(B232="","",COUNTIF('Part Routes'!$B:$B,B232))</f>
        <v/>
      </c>
      <c r="S232" s="10" t="str">
        <f>IF(B232="","",IF(D232="PV",COUNTIFS('Part Routes'!$B:$B,B232,'Part Routes'!$I:$I,""),IF(D232="HE",COUNTIFS('Part Routes'!$B:$B,B232,'Part Routes'!$J:$J,""),COUNTIFS('Part Routes'!$B:$B,B232,'Part Routes'!$I:$I,"")+COUNTIFS('Part Routes'!$B:$B,B232,'Part Routes'!$J:$J,""))))</f>
        <v/>
      </c>
      <c r="T232" s="10" t="str">
        <f t="shared" si="4"/>
        <v/>
      </c>
    </row>
    <row r="233" spans="1:20" x14ac:dyDescent="0.3">
      <c r="A233" s="9"/>
      <c r="B233" s="9"/>
      <c r="C233" s="9"/>
      <c r="D233" s="9"/>
      <c r="E233" s="9"/>
      <c r="F233" s="9"/>
      <c r="G233" s="9"/>
      <c r="H233" s="9"/>
      <c r="I233" s="9"/>
      <c r="J233" s="9"/>
      <c r="K233" s="9"/>
      <c r="L233" s="9"/>
      <c r="M233" s="9"/>
      <c r="N233" s="9"/>
      <c r="O233" s="9"/>
      <c r="P233" s="9"/>
      <c r="Q233" s="9"/>
      <c r="R233" s="10" t="str">
        <f>IF(B233="","",COUNTIF('Part Routes'!$B:$B,B233))</f>
        <v/>
      </c>
      <c r="S233" s="10" t="str">
        <f>IF(B233="","",IF(D233="PV",COUNTIFS('Part Routes'!$B:$B,B233,'Part Routes'!$I:$I,""),IF(D233="HE",COUNTIFS('Part Routes'!$B:$B,B233,'Part Routes'!$J:$J,""),COUNTIFS('Part Routes'!$B:$B,B233,'Part Routes'!$I:$I,"")+COUNTIFS('Part Routes'!$B:$B,B233,'Part Routes'!$J:$J,""))))</f>
        <v/>
      </c>
      <c r="T233" s="10" t="str">
        <f t="shared" si="4"/>
        <v/>
      </c>
    </row>
    <row r="234" spans="1:20" x14ac:dyDescent="0.3">
      <c r="A234" s="9"/>
      <c r="B234" s="9"/>
      <c r="C234" s="9"/>
      <c r="D234" s="9"/>
      <c r="E234" s="9"/>
      <c r="F234" s="9"/>
      <c r="G234" s="9"/>
      <c r="H234" s="9"/>
      <c r="I234" s="9"/>
      <c r="J234" s="9"/>
      <c r="K234" s="9"/>
      <c r="L234" s="9"/>
      <c r="M234" s="9"/>
      <c r="N234" s="9"/>
      <c r="O234" s="9"/>
      <c r="P234" s="9"/>
      <c r="Q234" s="9"/>
      <c r="R234" s="10" t="str">
        <f>IF(B234="","",COUNTIF('Part Routes'!$B:$B,B234))</f>
        <v/>
      </c>
      <c r="S234" s="10" t="str">
        <f>IF(B234="","",IF(D234="PV",COUNTIFS('Part Routes'!$B:$B,B234,'Part Routes'!$I:$I,""),IF(D234="HE",COUNTIFS('Part Routes'!$B:$B,B234,'Part Routes'!$J:$J,""),COUNTIFS('Part Routes'!$B:$B,B234,'Part Routes'!$I:$I,"")+COUNTIFS('Part Routes'!$B:$B,B234,'Part Routes'!$J:$J,""))))</f>
        <v/>
      </c>
      <c r="T234" s="10" t="str">
        <f t="shared" si="4"/>
        <v/>
      </c>
    </row>
    <row r="235" spans="1:20" x14ac:dyDescent="0.3">
      <c r="A235" s="9"/>
      <c r="B235" s="9"/>
      <c r="C235" s="9"/>
      <c r="D235" s="9"/>
      <c r="E235" s="9"/>
      <c r="F235" s="9"/>
      <c r="G235" s="9"/>
      <c r="H235" s="9"/>
      <c r="I235" s="9"/>
      <c r="J235" s="9"/>
      <c r="K235" s="9"/>
      <c r="L235" s="9"/>
      <c r="M235" s="9"/>
      <c r="N235" s="9"/>
      <c r="O235" s="9"/>
      <c r="P235" s="9"/>
      <c r="Q235" s="9"/>
      <c r="R235" s="10" t="str">
        <f>IF(B235="","",COUNTIF('Part Routes'!$B:$B,B235))</f>
        <v/>
      </c>
      <c r="S235" s="10" t="str">
        <f>IF(B235="","",IF(D235="PV",COUNTIFS('Part Routes'!$B:$B,B235,'Part Routes'!$I:$I,""),IF(D235="HE",COUNTIFS('Part Routes'!$B:$B,B235,'Part Routes'!$J:$J,""),COUNTIFS('Part Routes'!$B:$B,B235,'Part Routes'!$I:$I,"")+COUNTIFS('Part Routes'!$B:$B,B235,'Part Routes'!$J:$J,""))))</f>
        <v/>
      </c>
      <c r="T235" s="10" t="str">
        <f t="shared" si="4"/>
        <v/>
      </c>
    </row>
    <row r="236" spans="1:20" x14ac:dyDescent="0.3">
      <c r="A236" s="9"/>
      <c r="B236" s="9"/>
      <c r="C236" s="9"/>
      <c r="D236" s="9"/>
      <c r="E236" s="9"/>
      <c r="F236" s="9"/>
      <c r="G236" s="9"/>
      <c r="H236" s="9"/>
      <c r="I236" s="9"/>
      <c r="J236" s="9"/>
      <c r="K236" s="9"/>
      <c r="L236" s="9"/>
      <c r="M236" s="9"/>
      <c r="N236" s="9"/>
      <c r="O236" s="9"/>
      <c r="P236" s="9"/>
      <c r="Q236" s="9"/>
      <c r="R236" s="10" t="str">
        <f>IF(B236="","",COUNTIF('Part Routes'!$B:$B,B236))</f>
        <v/>
      </c>
      <c r="S236" s="10" t="str">
        <f>IF(B236="","",IF(D236="PV",COUNTIFS('Part Routes'!$B:$B,B236,'Part Routes'!$I:$I,""),IF(D236="HE",COUNTIFS('Part Routes'!$B:$B,B236,'Part Routes'!$J:$J,""),COUNTIFS('Part Routes'!$B:$B,B236,'Part Routes'!$I:$I,"")+COUNTIFS('Part Routes'!$B:$B,B236,'Part Routes'!$J:$J,""))))</f>
        <v/>
      </c>
      <c r="T236" s="10" t="str">
        <f t="shared" si="4"/>
        <v/>
      </c>
    </row>
    <row r="237" spans="1:20" x14ac:dyDescent="0.3">
      <c r="A237" s="9"/>
      <c r="B237" s="9"/>
      <c r="C237" s="9"/>
      <c r="D237" s="9"/>
      <c r="E237" s="9"/>
      <c r="F237" s="9"/>
      <c r="G237" s="9"/>
      <c r="H237" s="9"/>
      <c r="I237" s="9"/>
      <c r="J237" s="9"/>
      <c r="K237" s="9"/>
      <c r="L237" s="9"/>
      <c r="M237" s="9"/>
      <c r="N237" s="9"/>
      <c r="O237" s="9"/>
      <c r="P237" s="9"/>
      <c r="Q237" s="9"/>
      <c r="R237" s="10" t="str">
        <f>IF(B237="","",COUNTIF('Part Routes'!$B:$B,B237))</f>
        <v/>
      </c>
      <c r="S237" s="10" t="str">
        <f>IF(B237="","",IF(D237="PV",COUNTIFS('Part Routes'!$B:$B,B237,'Part Routes'!$I:$I,""),IF(D237="HE",COUNTIFS('Part Routes'!$B:$B,B237,'Part Routes'!$J:$J,""),COUNTIFS('Part Routes'!$B:$B,B237,'Part Routes'!$I:$I,"")+COUNTIFS('Part Routes'!$B:$B,B237,'Part Routes'!$J:$J,""))))</f>
        <v/>
      </c>
      <c r="T237" s="10" t="str">
        <f t="shared" si="4"/>
        <v/>
      </c>
    </row>
    <row r="238" spans="1:20" x14ac:dyDescent="0.3">
      <c r="A238" s="9"/>
      <c r="B238" s="9"/>
      <c r="C238" s="9"/>
      <c r="D238" s="9"/>
      <c r="E238" s="9"/>
      <c r="F238" s="9"/>
      <c r="G238" s="9"/>
      <c r="H238" s="9"/>
      <c r="I238" s="9"/>
      <c r="J238" s="9"/>
      <c r="K238" s="9"/>
      <c r="L238" s="9"/>
      <c r="M238" s="9"/>
      <c r="N238" s="9"/>
      <c r="O238" s="9"/>
      <c r="P238" s="9"/>
      <c r="Q238" s="9"/>
      <c r="R238" s="10" t="str">
        <f>IF(B238="","",COUNTIF('Part Routes'!$B:$B,B238))</f>
        <v/>
      </c>
      <c r="S238" s="10" t="str">
        <f>IF(B238="","",IF(D238="PV",COUNTIFS('Part Routes'!$B:$B,B238,'Part Routes'!$I:$I,""),IF(D238="HE",COUNTIFS('Part Routes'!$B:$B,B238,'Part Routes'!$J:$J,""),COUNTIFS('Part Routes'!$B:$B,B238,'Part Routes'!$I:$I,"")+COUNTIFS('Part Routes'!$B:$B,B238,'Part Routes'!$J:$J,""))))</f>
        <v/>
      </c>
      <c r="T238" s="10" t="str">
        <f t="shared" si="4"/>
        <v/>
      </c>
    </row>
    <row r="239" spans="1:20" x14ac:dyDescent="0.3">
      <c r="A239" s="9"/>
      <c r="B239" s="9"/>
      <c r="C239" s="9"/>
      <c r="D239" s="9"/>
      <c r="E239" s="9"/>
      <c r="F239" s="9"/>
      <c r="G239" s="9"/>
      <c r="H239" s="9"/>
      <c r="I239" s="9"/>
      <c r="J239" s="9"/>
      <c r="K239" s="9"/>
      <c r="L239" s="9"/>
      <c r="M239" s="9"/>
      <c r="N239" s="9"/>
      <c r="O239" s="9"/>
      <c r="P239" s="9"/>
      <c r="Q239" s="9"/>
      <c r="R239" s="10" t="str">
        <f>IF(B239="","",COUNTIF('Part Routes'!$B:$B,B239))</f>
        <v/>
      </c>
      <c r="S239" s="10" t="str">
        <f>IF(B239="","",IF(D239="PV",COUNTIFS('Part Routes'!$B:$B,B239,'Part Routes'!$I:$I,""),IF(D239="HE",COUNTIFS('Part Routes'!$B:$B,B239,'Part Routes'!$J:$J,""),COUNTIFS('Part Routes'!$B:$B,B239,'Part Routes'!$I:$I,"")+COUNTIFS('Part Routes'!$B:$B,B239,'Part Routes'!$J:$J,""))))</f>
        <v/>
      </c>
      <c r="T239" s="10" t="str">
        <f t="shared" si="4"/>
        <v/>
      </c>
    </row>
    <row r="240" spans="1:20" x14ac:dyDescent="0.3">
      <c r="A240" s="9"/>
      <c r="B240" s="9"/>
      <c r="C240" s="9"/>
      <c r="D240" s="9"/>
      <c r="E240" s="9"/>
      <c r="F240" s="9"/>
      <c r="G240" s="9"/>
      <c r="H240" s="9"/>
      <c r="I240" s="9"/>
      <c r="J240" s="9"/>
      <c r="K240" s="9"/>
      <c r="L240" s="9"/>
      <c r="M240" s="9"/>
      <c r="N240" s="9"/>
      <c r="O240" s="9"/>
      <c r="P240" s="9"/>
      <c r="Q240" s="9"/>
      <c r="R240" s="10" t="str">
        <f>IF(B240="","",COUNTIF('Part Routes'!$B:$B,B240))</f>
        <v/>
      </c>
      <c r="S240" s="10" t="str">
        <f>IF(B240="","",IF(D240="PV",COUNTIFS('Part Routes'!$B:$B,B240,'Part Routes'!$I:$I,""),IF(D240="HE",COUNTIFS('Part Routes'!$B:$B,B240,'Part Routes'!$J:$J,""),COUNTIFS('Part Routes'!$B:$B,B240,'Part Routes'!$I:$I,"")+COUNTIFS('Part Routes'!$B:$B,B240,'Part Routes'!$J:$J,""))))</f>
        <v/>
      </c>
      <c r="T240" s="10" t="str">
        <f t="shared" si="4"/>
        <v/>
      </c>
    </row>
    <row r="241" spans="1:20" x14ac:dyDescent="0.3">
      <c r="A241" s="9"/>
      <c r="B241" s="9"/>
      <c r="C241" s="9"/>
      <c r="D241" s="9"/>
      <c r="E241" s="9"/>
      <c r="F241" s="9"/>
      <c r="G241" s="9"/>
      <c r="H241" s="9"/>
      <c r="I241" s="9"/>
      <c r="J241" s="9"/>
      <c r="K241" s="9"/>
      <c r="L241" s="9"/>
      <c r="M241" s="9"/>
      <c r="N241" s="9"/>
      <c r="O241" s="9"/>
      <c r="P241" s="9"/>
      <c r="Q241" s="9"/>
      <c r="R241" s="10" t="str">
        <f>IF(B241="","",COUNTIF('Part Routes'!$B:$B,B241))</f>
        <v/>
      </c>
      <c r="S241" s="10" t="str">
        <f>IF(B241="","",IF(D241="PV",COUNTIFS('Part Routes'!$B:$B,B241,'Part Routes'!$I:$I,""),IF(D241="HE",COUNTIFS('Part Routes'!$B:$B,B241,'Part Routes'!$J:$J,""),COUNTIFS('Part Routes'!$B:$B,B241,'Part Routes'!$I:$I,"")+COUNTIFS('Part Routes'!$B:$B,B241,'Part Routes'!$J:$J,""))))</f>
        <v/>
      </c>
      <c r="T241" s="10" t="str">
        <f t="shared" si="4"/>
        <v/>
      </c>
    </row>
    <row r="242" spans="1:20" x14ac:dyDescent="0.3">
      <c r="A242" s="9"/>
      <c r="B242" s="9"/>
      <c r="C242" s="9"/>
      <c r="D242" s="9"/>
      <c r="E242" s="9"/>
      <c r="F242" s="9"/>
      <c r="G242" s="9"/>
      <c r="H242" s="9"/>
      <c r="I242" s="9"/>
      <c r="J242" s="9"/>
      <c r="K242" s="9"/>
      <c r="L242" s="9"/>
      <c r="M242" s="9"/>
      <c r="N242" s="9"/>
      <c r="O242" s="9"/>
      <c r="P242" s="9"/>
      <c r="Q242" s="9"/>
      <c r="R242" s="10" t="str">
        <f>IF(B242="","",COUNTIF('Part Routes'!$B:$B,B242))</f>
        <v/>
      </c>
      <c r="S242" s="10" t="str">
        <f>IF(B242="","",IF(D242="PV",COUNTIFS('Part Routes'!$B:$B,B242,'Part Routes'!$I:$I,""),IF(D242="HE",COUNTIFS('Part Routes'!$B:$B,B242,'Part Routes'!$J:$J,""),COUNTIFS('Part Routes'!$B:$B,B242,'Part Routes'!$I:$I,"")+COUNTIFS('Part Routes'!$B:$B,B242,'Part Routes'!$J:$J,""))))</f>
        <v/>
      </c>
      <c r="T242" s="10" t="str">
        <f t="shared" si="4"/>
        <v/>
      </c>
    </row>
    <row r="243" spans="1:20" x14ac:dyDescent="0.3">
      <c r="A243" s="9"/>
      <c r="B243" s="9"/>
      <c r="C243" s="9"/>
      <c r="D243" s="9"/>
      <c r="E243" s="9"/>
      <c r="F243" s="9"/>
      <c r="G243" s="9"/>
      <c r="H243" s="9"/>
      <c r="I243" s="9"/>
      <c r="J243" s="9"/>
      <c r="K243" s="9"/>
      <c r="L243" s="9"/>
      <c r="M243" s="9"/>
      <c r="N243" s="9"/>
      <c r="O243" s="9"/>
      <c r="P243" s="9"/>
      <c r="Q243" s="9"/>
      <c r="R243" s="10" t="str">
        <f>IF(B243="","",COUNTIF('Part Routes'!$B:$B,B243))</f>
        <v/>
      </c>
      <c r="S243" s="10" t="str">
        <f>IF(B243="","",IF(D243="PV",COUNTIFS('Part Routes'!$B:$B,B243,'Part Routes'!$I:$I,""),IF(D243="HE",COUNTIFS('Part Routes'!$B:$B,B243,'Part Routes'!$J:$J,""),COUNTIFS('Part Routes'!$B:$B,B243,'Part Routes'!$I:$I,"")+COUNTIFS('Part Routes'!$B:$B,B243,'Part Routes'!$J:$J,""))))</f>
        <v/>
      </c>
      <c r="T243" s="10" t="str">
        <f t="shared" si="4"/>
        <v/>
      </c>
    </row>
    <row r="244" spans="1:20" x14ac:dyDescent="0.3">
      <c r="A244" s="9"/>
      <c r="B244" s="9"/>
      <c r="C244" s="9"/>
      <c r="D244" s="9"/>
      <c r="E244" s="9"/>
      <c r="F244" s="9"/>
      <c r="G244" s="9"/>
      <c r="H244" s="9"/>
      <c r="I244" s="9"/>
      <c r="J244" s="9"/>
      <c r="K244" s="9"/>
      <c r="L244" s="9"/>
      <c r="M244" s="9"/>
      <c r="N244" s="9"/>
      <c r="O244" s="9"/>
      <c r="P244" s="9"/>
      <c r="Q244" s="9"/>
      <c r="R244" s="10" t="str">
        <f>IF(B244="","",COUNTIF('Part Routes'!$B:$B,B244))</f>
        <v/>
      </c>
      <c r="S244" s="10" t="str">
        <f>IF(B244="","",IF(D244="PV",COUNTIFS('Part Routes'!$B:$B,B244,'Part Routes'!$I:$I,""),IF(D244="HE",COUNTIFS('Part Routes'!$B:$B,B244,'Part Routes'!$J:$J,""),COUNTIFS('Part Routes'!$B:$B,B244,'Part Routes'!$I:$I,"")+COUNTIFS('Part Routes'!$B:$B,B244,'Part Routes'!$J:$J,""))))</f>
        <v/>
      </c>
      <c r="T244" s="10" t="str">
        <f t="shared" si="4"/>
        <v/>
      </c>
    </row>
    <row r="245" spans="1:20" x14ac:dyDescent="0.3">
      <c r="A245" s="9"/>
      <c r="B245" s="9"/>
      <c r="C245" s="9"/>
      <c r="D245" s="9"/>
      <c r="E245" s="9"/>
      <c r="F245" s="9"/>
      <c r="G245" s="9"/>
      <c r="H245" s="9"/>
      <c r="I245" s="9"/>
      <c r="J245" s="9"/>
      <c r="K245" s="9"/>
      <c r="L245" s="9"/>
      <c r="M245" s="9"/>
      <c r="N245" s="9"/>
      <c r="O245" s="9"/>
      <c r="P245" s="9"/>
      <c r="Q245" s="9"/>
      <c r="R245" s="10" t="str">
        <f>IF(B245="","",COUNTIF('Part Routes'!$B:$B,B245))</f>
        <v/>
      </c>
      <c r="S245" s="10" t="str">
        <f>IF(B245="","",IF(D245="PV",COUNTIFS('Part Routes'!$B:$B,B245,'Part Routes'!$I:$I,""),IF(D245="HE",COUNTIFS('Part Routes'!$B:$B,B245,'Part Routes'!$J:$J,""),COUNTIFS('Part Routes'!$B:$B,B245,'Part Routes'!$I:$I,"")+COUNTIFS('Part Routes'!$B:$B,B245,'Part Routes'!$J:$J,""))))</f>
        <v/>
      </c>
      <c r="T245" s="10" t="str">
        <f t="shared" si="4"/>
        <v/>
      </c>
    </row>
    <row r="246" spans="1:20" x14ac:dyDescent="0.3">
      <c r="A246" s="9"/>
      <c r="B246" s="9"/>
      <c r="C246" s="9"/>
      <c r="D246" s="9"/>
      <c r="E246" s="9"/>
      <c r="F246" s="9"/>
      <c r="G246" s="9"/>
      <c r="H246" s="9"/>
      <c r="I246" s="9"/>
      <c r="J246" s="9"/>
      <c r="K246" s="9"/>
      <c r="L246" s="9"/>
      <c r="M246" s="9"/>
      <c r="N246" s="9"/>
      <c r="O246" s="9"/>
      <c r="P246" s="9"/>
      <c r="Q246" s="9"/>
      <c r="R246" s="10" t="str">
        <f>IF(B246="","",COUNTIF('Part Routes'!$B:$B,B246))</f>
        <v/>
      </c>
      <c r="S246" s="10" t="str">
        <f>IF(B246="","",IF(D246="PV",COUNTIFS('Part Routes'!$B:$B,B246,'Part Routes'!$I:$I,""),IF(D246="HE",COUNTIFS('Part Routes'!$B:$B,B246,'Part Routes'!$J:$J,""),COUNTIFS('Part Routes'!$B:$B,B246,'Part Routes'!$I:$I,"")+COUNTIFS('Part Routes'!$B:$B,B246,'Part Routes'!$J:$J,""))))</f>
        <v/>
      </c>
      <c r="T246" s="10" t="str">
        <f t="shared" si="4"/>
        <v/>
      </c>
    </row>
    <row r="247" spans="1:20" x14ac:dyDescent="0.3">
      <c r="A247" s="9"/>
      <c r="B247" s="9"/>
      <c r="C247" s="9"/>
      <c r="D247" s="9"/>
      <c r="E247" s="9"/>
      <c r="F247" s="9"/>
      <c r="G247" s="9"/>
      <c r="H247" s="9"/>
      <c r="I247" s="9"/>
      <c r="J247" s="9"/>
      <c r="K247" s="9"/>
      <c r="L247" s="9"/>
      <c r="M247" s="9"/>
      <c r="N247" s="9"/>
      <c r="O247" s="9"/>
      <c r="P247" s="9"/>
      <c r="Q247" s="9"/>
      <c r="R247" s="10" t="str">
        <f>IF(B247="","",COUNTIF('Part Routes'!$B:$B,B247))</f>
        <v/>
      </c>
      <c r="S247" s="10" t="str">
        <f>IF(B247="","",IF(D247="PV",COUNTIFS('Part Routes'!$B:$B,B247,'Part Routes'!$I:$I,""),IF(D247="HE",COUNTIFS('Part Routes'!$B:$B,B247,'Part Routes'!$J:$J,""),COUNTIFS('Part Routes'!$B:$B,B247,'Part Routes'!$I:$I,"")+COUNTIFS('Part Routes'!$B:$B,B247,'Part Routes'!$J:$J,""))))</f>
        <v/>
      </c>
      <c r="T247" s="10" t="str">
        <f t="shared" si="4"/>
        <v/>
      </c>
    </row>
    <row r="248" spans="1:20" x14ac:dyDescent="0.3">
      <c r="A248" s="9"/>
      <c r="B248" s="9"/>
      <c r="C248" s="9"/>
      <c r="D248" s="9"/>
      <c r="E248" s="9"/>
      <c r="F248" s="9"/>
      <c r="G248" s="9"/>
      <c r="H248" s="9"/>
      <c r="I248" s="9"/>
      <c r="J248" s="9"/>
      <c r="K248" s="9"/>
      <c r="L248" s="9"/>
      <c r="M248" s="9"/>
      <c r="N248" s="9"/>
      <c r="O248" s="9"/>
      <c r="P248" s="9"/>
      <c r="Q248" s="9"/>
      <c r="R248" s="10" t="str">
        <f>IF(B248="","",COUNTIF('Part Routes'!$B:$B,B248))</f>
        <v/>
      </c>
      <c r="S248" s="10" t="str">
        <f>IF(B248="","",IF(D248="PV",COUNTIFS('Part Routes'!$B:$B,B248,'Part Routes'!$I:$I,""),IF(D248="HE",COUNTIFS('Part Routes'!$B:$B,B248,'Part Routes'!$J:$J,""),COUNTIFS('Part Routes'!$B:$B,B248,'Part Routes'!$I:$I,"")+COUNTIFS('Part Routes'!$B:$B,B248,'Part Routes'!$J:$J,""))))</f>
        <v/>
      </c>
      <c r="T248" s="10" t="str">
        <f t="shared" si="4"/>
        <v/>
      </c>
    </row>
    <row r="249" spans="1:20" x14ac:dyDescent="0.3">
      <c r="A249" s="9"/>
      <c r="B249" s="9"/>
      <c r="C249" s="9"/>
      <c r="D249" s="9"/>
      <c r="E249" s="9"/>
      <c r="F249" s="9"/>
      <c r="G249" s="9"/>
      <c r="H249" s="9"/>
      <c r="I249" s="9"/>
      <c r="J249" s="9"/>
      <c r="K249" s="9"/>
      <c r="L249" s="9"/>
      <c r="M249" s="9"/>
      <c r="N249" s="9"/>
      <c r="O249" s="9"/>
      <c r="P249" s="9"/>
      <c r="Q249" s="9"/>
      <c r="R249" s="10" t="str">
        <f>IF(B249="","",COUNTIF('Part Routes'!$B:$B,B249))</f>
        <v/>
      </c>
      <c r="S249" s="10" t="str">
        <f>IF(B249="","",IF(D249="PV",COUNTIFS('Part Routes'!$B:$B,B249,'Part Routes'!$I:$I,""),IF(D249="HE",COUNTIFS('Part Routes'!$B:$B,B249,'Part Routes'!$J:$J,""),COUNTIFS('Part Routes'!$B:$B,B249,'Part Routes'!$I:$I,"")+COUNTIFS('Part Routes'!$B:$B,B249,'Part Routes'!$J:$J,""))))</f>
        <v/>
      </c>
      <c r="T249" s="10" t="str">
        <f t="shared" si="4"/>
        <v/>
      </c>
    </row>
    <row r="250" spans="1:20" x14ac:dyDescent="0.3">
      <c r="A250" s="9"/>
      <c r="B250" s="9"/>
      <c r="C250" s="9"/>
      <c r="D250" s="9"/>
      <c r="E250" s="9"/>
      <c r="F250" s="9"/>
      <c r="G250" s="9"/>
      <c r="H250" s="9"/>
      <c r="I250" s="9"/>
      <c r="J250" s="9"/>
      <c r="K250" s="9"/>
      <c r="L250" s="9"/>
      <c r="M250" s="9"/>
      <c r="N250" s="9"/>
      <c r="O250" s="9"/>
      <c r="P250" s="9"/>
      <c r="Q250" s="9"/>
      <c r="R250" s="10" t="str">
        <f>IF(B250="","",COUNTIF('Part Routes'!$B:$B,B250))</f>
        <v/>
      </c>
      <c r="S250" s="10" t="str">
        <f>IF(B250="","",IF(D250="PV",COUNTIFS('Part Routes'!$B:$B,B250,'Part Routes'!$I:$I,""),IF(D250="HE",COUNTIFS('Part Routes'!$B:$B,B250,'Part Routes'!$J:$J,""),COUNTIFS('Part Routes'!$B:$B,B250,'Part Routes'!$I:$I,"")+COUNTIFS('Part Routes'!$B:$B,B250,'Part Routes'!$J:$J,""))))</f>
        <v/>
      </c>
      <c r="T250" s="10" t="str">
        <f t="shared" si="4"/>
        <v/>
      </c>
    </row>
    <row r="251" spans="1:20" x14ac:dyDescent="0.3">
      <c r="A251" s="9"/>
      <c r="B251" s="9"/>
      <c r="C251" s="9"/>
      <c r="D251" s="9"/>
      <c r="E251" s="9"/>
      <c r="F251" s="9"/>
      <c r="G251" s="9"/>
      <c r="H251" s="9"/>
      <c r="I251" s="9"/>
      <c r="J251" s="9"/>
      <c r="K251" s="9"/>
      <c r="L251" s="9"/>
      <c r="M251" s="9"/>
      <c r="N251" s="9"/>
      <c r="O251" s="9"/>
      <c r="P251" s="9"/>
      <c r="Q251" s="9"/>
      <c r="R251" s="10" t="str">
        <f>IF(B251="","",COUNTIF('Part Routes'!$B:$B,B251))</f>
        <v/>
      </c>
      <c r="S251" s="10" t="str">
        <f>IF(B251="","",IF(D251="PV",COUNTIFS('Part Routes'!$B:$B,B251,'Part Routes'!$I:$I,""),IF(D251="HE",COUNTIFS('Part Routes'!$B:$B,B251,'Part Routes'!$J:$J,""),COUNTIFS('Part Routes'!$B:$B,B251,'Part Routes'!$I:$I,"")+COUNTIFS('Part Routes'!$B:$B,B251,'Part Routes'!$J:$J,""))))</f>
        <v/>
      </c>
      <c r="T251" s="10" t="str">
        <f t="shared" si="4"/>
        <v/>
      </c>
    </row>
    <row r="252" spans="1:20" x14ac:dyDescent="0.3">
      <c r="A252" s="9"/>
      <c r="B252" s="9"/>
      <c r="C252" s="9"/>
      <c r="D252" s="9"/>
      <c r="E252" s="9"/>
      <c r="F252" s="9"/>
      <c r="G252" s="9"/>
      <c r="H252" s="9"/>
      <c r="I252" s="9"/>
      <c r="J252" s="9"/>
      <c r="K252" s="9"/>
      <c r="L252" s="9"/>
      <c r="M252" s="9"/>
      <c r="N252" s="9"/>
      <c r="O252" s="9"/>
      <c r="P252" s="9"/>
      <c r="Q252" s="9"/>
      <c r="R252" s="10" t="str">
        <f>IF(B252="","",COUNTIF('Part Routes'!$B:$B,B252))</f>
        <v/>
      </c>
      <c r="S252" s="10" t="str">
        <f>IF(B252="","",IF(D252="PV",COUNTIFS('Part Routes'!$B:$B,B252,'Part Routes'!$I:$I,""),IF(D252="HE",COUNTIFS('Part Routes'!$B:$B,B252,'Part Routes'!$J:$J,""),COUNTIFS('Part Routes'!$B:$B,B252,'Part Routes'!$I:$I,"")+COUNTIFS('Part Routes'!$B:$B,B252,'Part Routes'!$J:$J,""))))</f>
        <v/>
      </c>
      <c r="T252" s="10" t="str">
        <f t="shared" si="4"/>
        <v/>
      </c>
    </row>
    <row r="253" spans="1:20" x14ac:dyDescent="0.3">
      <c r="A253" s="9"/>
      <c r="B253" s="9"/>
      <c r="C253" s="9"/>
      <c r="D253" s="9"/>
      <c r="E253" s="9"/>
      <c r="F253" s="9"/>
      <c r="G253" s="9"/>
      <c r="H253" s="9"/>
      <c r="I253" s="9"/>
      <c r="J253" s="9"/>
      <c r="K253" s="9"/>
      <c r="L253" s="9"/>
      <c r="M253" s="9"/>
      <c r="N253" s="9"/>
      <c r="O253" s="9"/>
      <c r="P253" s="9"/>
      <c r="Q253" s="9"/>
      <c r="R253" s="10" t="str">
        <f>IF(B253="","",COUNTIF('Part Routes'!$B:$B,B253))</f>
        <v/>
      </c>
      <c r="S253" s="10" t="str">
        <f>IF(B253="","",IF(D253="PV",COUNTIFS('Part Routes'!$B:$B,B253,'Part Routes'!$I:$I,""),IF(D253="HE",COUNTIFS('Part Routes'!$B:$B,B253,'Part Routes'!$J:$J,""),COUNTIFS('Part Routes'!$B:$B,B253,'Part Routes'!$I:$I,"")+COUNTIFS('Part Routes'!$B:$B,B253,'Part Routes'!$J:$J,""))))</f>
        <v/>
      </c>
      <c r="T253" s="10" t="str">
        <f t="shared" si="4"/>
        <v/>
      </c>
    </row>
    <row r="254" spans="1:20" x14ac:dyDescent="0.3">
      <c r="A254" s="9"/>
      <c r="B254" s="9"/>
      <c r="C254" s="9"/>
      <c r="D254" s="9"/>
      <c r="E254" s="9"/>
      <c r="F254" s="9"/>
      <c r="G254" s="9"/>
      <c r="H254" s="9"/>
      <c r="I254" s="9"/>
      <c r="J254" s="9"/>
      <c r="K254" s="9"/>
      <c r="L254" s="9"/>
      <c r="M254" s="9"/>
      <c r="N254" s="9"/>
      <c r="O254" s="9"/>
      <c r="P254" s="9"/>
      <c r="Q254" s="9"/>
      <c r="R254" s="10" t="str">
        <f>IF(B254="","",COUNTIF('Part Routes'!$B:$B,B254))</f>
        <v/>
      </c>
      <c r="S254" s="10" t="str">
        <f>IF(B254="","",IF(D254="PV",COUNTIFS('Part Routes'!$B:$B,B254,'Part Routes'!$I:$I,""),IF(D254="HE",COUNTIFS('Part Routes'!$B:$B,B254,'Part Routes'!$J:$J,""),COUNTIFS('Part Routes'!$B:$B,B254,'Part Routes'!$I:$I,"")+COUNTIFS('Part Routes'!$B:$B,B254,'Part Routes'!$J:$J,""))))</f>
        <v/>
      </c>
      <c r="T254" s="10" t="str">
        <f t="shared" si="4"/>
        <v/>
      </c>
    </row>
    <row r="255" spans="1:20" x14ac:dyDescent="0.3">
      <c r="A255" s="9"/>
      <c r="B255" s="9"/>
      <c r="C255" s="9"/>
      <c r="D255" s="9"/>
      <c r="E255" s="9"/>
      <c r="F255" s="9"/>
      <c r="G255" s="9"/>
      <c r="H255" s="9"/>
      <c r="I255" s="9"/>
      <c r="J255" s="9"/>
      <c r="K255" s="9"/>
      <c r="L255" s="9"/>
      <c r="M255" s="9"/>
      <c r="N255" s="9"/>
      <c r="O255" s="9"/>
      <c r="P255" s="9"/>
      <c r="Q255" s="9"/>
      <c r="R255" s="10" t="str">
        <f>IF(B255="","",COUNTIF('Part Routes'!$B:$B,B255))</f>
        <v/>
      </c>
      <c r="S255" s="10" t="str">
        <f>IF(B255="","",IF(D255="PV",COUNTIFS('Part Routes'!$B:$B,B255,'Part Routes'!$I:$I,""),IF(D255="HE",COUNTIFS('Part Routes'!$B:$B,B255,'Part Routes'!$J:$J,""),COUNTIFS('Part Routes'!$B:$B,B255,'Part Routes'!$I:$I,"")+COUNTIFS('Part Routes'!$B:$B,B255,'Part Routes'!$J:$J,""))))</f>
        <v/>
      </c>
      <c r="T255" s="10" t="str">
        <f t="shared" si="4"/>
        <v/>
      </c>
    </row>
    <row r="256" spans="1:20" x14ac:dyDescent="0.3">
      <c r="A256" s="9"/>
      <c r="B256" s="9"/>
      <c r="C256" s="9"/>
      <c r="D256" s="9"/>
      <c r="E256" s="9"/>
      <c r="F256" s="9"/>
      <c r="G256" s="9"/>
      <c r="H256" s="9"/>
      <c r="I256" s="9"/>
      <c r="J256" s="9"/>
      <c r="K256" s="9"/>
      <c r="L256" s="9"/>
      <c r="M256" s="9"/>
      <c r="N256" s="9"/>
      <c r="O256" s="9"/>
      <c r="P256" s="9"/>
      <c r="Q256" s="9"/>
      <c r="R256" s="10" t="str">
        <f>IF(B256="","",COUNTIF('Part Routes'!$B:$B,B256))</f>
        <v/>
      </c>
      <c r="S256" s="10" t="str">
        <f>IF(B256="","",IF(D256="PV",COUNTIFS('Part Routes'!$B:$B,B256,'Part Routes'!$I:$I,""),IF(D256="HE",COUNTIFS('Part Routes'!$B:$B,B256,'Part Routes'!$J:$J,""),COUNTIFS('Part Routes'!$B:$B,B256,'Part Routes'!$I:$I,"")+COUNTIFS('Part Routes'!$B:$B,B256,'Part Routes'!$J:$J,""))))</f>
        <v/>
      </c>
      <c r="T256" s="10" t="str">
        <f t="shared" si="4"/>
        <v/>
      </c>
    </row>
    <row r="257" spans="1:20" x14ac:dyDescent="0.3">
      <c r="A257" s="9"/>
      <c r="B257" s="9"/>
      <c r="C257" s="9"/>
      <c r="D257" s="9"/>
      <c r="E257" s="9"/>
      <c r="F257" s="9"/>
      <c r="G257" s="9"/>
      <c r="H257" s="9"/>
      <c r="I257" s="9"/>
      <c r="J257" s="9"/>
      <c r="K257" s="9"/>
      <c r="L257" s="9"/>
      <c r="M257" s="9"/>
      <c r="N257" s="9"/>
      <c r="O257" s="9"/>
      <c r="P257" s="9"/>
      <c r="Q257" s="9"/>
      <c r="R257" s="10" t="str">
        <f>IF(B257="","",COUNTIF('Part Routes'!$B:$B,B257))</f>
        <v/>
      </c>
      <c r="S257" s="10" t="str">
        <f>IF(B257="","",IF(D257="PV",COUNTIFS('Part Routes'!$B:$B,B257,'Part Routes'!$I:$I,""),IF(D257="HE",COUNTIFS('Part Routes'!$B:$B,B257,'Part Routes'!$J:$J,""),COUNTIFS('Part Routes'!$B:$B,B257,'Part Routes'!$I:$I,"")+COUNTIFS('Part Routes'!$B:$B,B257,'Part Routes'!$J:$J,""))))</f>
        <v/>
      </c>
      <c r="T257" s="10" t="str">
        <f t="shared" si="4"/>
        <v/>
      </c>
    </row>
    <row r="258" spans="1:20" x14ac:dyDescent="0.3">
      <c r="A258" s="9"/>
      <c r="B258" s="9"/>
      <c r="C258" s="9"/>
      <c r="D258" s="9"/>
      <c r="E258" s="9"/>
      <c r="F258" s="9"/>
      <c r="G258" s="9"/>
      <c r="H258" s="9"/>
      <c r="I258" s="9"/>
      <c r="J258" s="9"/>
      <c r="K258" s="9"/>
      <c r="L258" s="9"/>
      <c r="M258" s="9"/>
      <c r="N258" s="9"/>
      <c r="O258" s="9"/>
      <c r="P258" s="9"/>
      <c r="Q258" s="9"/>
      <c r="R258" s="10" t="str">
        <f>IF(B258="","",COUNTIF('Part Routes'!$B:$B,B258))</f>
        <v/>
      </c>
      <c r="S258" s="10" t="str">
        <f>IF(B258="","",IF(D258="PV",COUNTIFS('Part Routes'!$B:$B,B258,'Part Routes'!$I:$I,""),IF(D258="HE",COUNTIFS('Part Routes'!$B:$B,B258,'Part Routes'!$J:$J,""),COUNTIFS('Part Routes'!$B:$B,B258,'Part Routes'!$I:$I,"")+COUNTIFS('Part Routes'!$B:$B,B258,'Part Routes'!$J:$J,""))))</f>
        <v/>
      </c>
      <c r="T258" s="10" t="str">
        <f t="shared" si="4"/>
        <v/>
      </c>
    </row>
    <row r="259" spans="1:20" x14ac:dyDescent="0.3">
      <c r="A259" s="9"/>
      <c r="B259" s="9"/>
      <c r="C259" s="9"/>
      <c r="D259" s="9"/>
      <c r="E259" s="9"/>
      <c r="F259" s="9"/>
      <c r="G259" s="9"/>
      <c r="H259" s="9"/>
      <c r="I259" s="9"/>
      <c r="J259" s="9"/>
      <c r="K259" s="9"/>
      <c r="L259" s="9"/>
      <c r="M259" s="9"/>
      <c r="N259" s="9"/>
      <c r="O259" s="9"/>
      <c r="P259" s="9"/>
      <c r="Q259" s="9"/>
      <c r="R259" s="10" t="str">
        <f>IF(B259="","",COUNTIF('Part Routes'!$B:$B,B259))</f>
        <v/>
      </c>
      <c r="S259" s="10" t="str">
        <f>IF(B259="","",IF(D259="PV",COUNTIFS('Part Routes'!$B:$B,B259,'Part Routes'!$I:$I,""),IF(D259="HE",COUNTIFS('Part Routes'!$B:$B,B259,'Part Routes'!$J:$J,""),COUNTIFS('Part Routes'!$B:$B,B259,'Part Routes'!$I:$I,"")+COUNTIFS('Part Routes'!$B:$B,B259,'Part Routes'!$J:$J,""))))</f>
        <v/>
      </c>
      <c r="T259" s="10" t="str">
        <f t="shared" si="4"/>
        <v/>
      </c>
    </row>
    <row r="260" spans="1:20" x14ac:dyDescent="0.3">
      <c r="A260" s="9"/>
      <c r="B260" s="9"/>
      <c r="C260" s="9"/>
      <c r="D260" s="9"/>
      <c r="E260" s="9"/>
      <c r="F260" s="9"/>
      <c r="G260" s="9"/>
      <c r="H260" s="9"/>
      <c r="I260" s="9"/>
      <c r="J260" s="9"/>
      <c r="K260" s="9"/>
      <c r="L260" s="9"/>
      <c r="M260" s="9"/>
      <c r="N260" s="9"/>
      <c r="O260" s="9"/>
      <c r="P260" s="9"/>
      <c r="Q260" s="9"/>
      <c r="R260" s="10" t="str">
        <f>IF(B260="","",COUNTIF('Part Routes'!$B:$B,B260))</f>
        <v/>
      </c>
      <c r="S260" s="10" t="str">
        <f>IF(B260="","",IF(D260="PV",COUNTIFS('Part Routes'!$B:$B,B260,'Part Routes'!$I:$I,""),IF(D260="HE",COUNTIFS('Part Routes'!$B:$B,B260,'Part Routes'!$J:$J,""),COUNTIFS('Part Routes'!$B:$B,B260,'Part Routes'!$I:$I,"")+COUNTIFS('Part Routes'!$B:$B,B260,'Part Routes'!$J:$J,""))))</f>
        <v/>
      </c>
      <c r="T260" s="10" t="str">
        <f t="shared" si="4"/>
        <v/>
      </c>
    </row>
    <row r="261" spans="1:20" x14ac:dyDescent="0.3">
      <c r="A261" s="9"/>
      <c r="B261" s="9"/>
      <c r="C261" s="9"/>
      <c r="D261" s="9"/>
      <c r="E261" s="9"/>
      <c r="F261" s="9"/>
      <c r="G261" s="9"/>
      <c r="H261" s="9"/>
      <c r="I261" s="9"/>
      <c r="J261" s="9"/>
      <c r="K261" s="9"/>
      <c r="L261" s="9"/>
      <c r="M261" s="9"/>
      <c r="N261" s="9"/>
      <c r="O261" s="9"/>
      <c r="P261" s="9"/>
      <c r="Q261" s="9"/>
      <c r="R261" s="10" t="str">
        <f>IF(B261="","",COUNTIF('Part Routes'!$B:$B,B261))</f>
        <v/>
      </c>
      <c r="S261" s="10" t="str">
        <f>IF(B261="","",IF(D261="PV",COUNTIFS('Part Routes'!$B:$B,B261,'Part Routes'!$I:$I,""),IF(D261="HE",COUNTIFS('Part Routes'!$B:$B,B261,'Part Routes'!$J:$J,""),COUNTIFS('Part Routes'!$B:$B,B261,'Part Routes'!$I:$I,"")+COUNTIFS('Part Routes'!$B:$B,B261,'Part Routes'!$J:$J,""))))</f>
        <v/>
      </c>
      <c r="T261" s="10" t="str">
        <f t="shared" ref="T261:T309" si="5">IF(B261="","",IF(M261="Assumed – to be confirmed",R261,0))</f>
        <v/>
      </c>
    </row>
    <row r="262" spans="1:20" x14ac:dyDescent="0.3">
      <c r="A262" s="9"/>
      <c r="B262" s="9"/>
      <c r="C262" s="9"/>
      <c r="D262" s="9"/>
      <c r="E262" s="9"/>
      <c r="F262" s="9"/>
      <c r="G262" s="9"/>
      <c r="H262" s="9"/>
      <c r="I262" s="9"/>
      <c r="J262" s="9"/>
      <c r="K262" s="9"/>
      <c r="L262" s="9"/>
      <c r="M262" s="9"/>
      <c r="N262" s="9"/>
      <c r="O262" s="9"/>
      <c r="P262" s="9"/>
      <c r="Q262" s="9"/>
      <c r="R262" s="10" t="str">
        <f>IF(B262="","",COUNTIF('Part Routes'!$B:$B,B262))</f>
        <v/>
      </c>
      <c r="S262" s="10" t="str">
        <f>IF(B262="","",IF(D262="PV",COUNTIFS('Part Routes'!$B:$B,B262,'Part Routes'!$I:$I,""),IF(D262="HE",COUNTIFS('Part Routes'!$B:$B,B262,'Part Routes'!$J:$J,""),COUNTIFS('Part Routes'!$B:$B,B262,'Part Routes'!$I:$I,"")+COUNTIFS('Part Routes'!$B:$B,B262,'Part Routes'!$J:$J,""))))</f>
        <v/>
      </c>
      <c r="T262" s="10" t="str">
        <f t="shared" si="5"/>
        <v/>
      </c>
    </row>
    <row r="263" spans="1:20" x14ac:dyDescent="0.3">
      <c r="A263" s="9"/>
      <c r="B263" s="9"/>
      <c r="C263" s="9"/>
      <c r="D263" s="9"/>
      <c r="E263" s="9"/>
      <c r="F263" s="9"/>
      <c r="G263" s="9"/>
      <c r="H263" s="9"/>
      <c r="I263" s="9"/>
      <c r="J263" s="9"/>
      <c r="K263" s="9"/>
      <c r="L263" s="9"/>
      <c r="M263" s="9"/>
      <c r="N263" s="9"/>
      <c r="O263" s="9"/>
      <c r="P263" s="9"/>
      <c r="Q263" s="9"/>
      <c r="R263" s="10" t="str">
        <f>IF(B263="","",COUNTIF('Part Routes'!$B:$B,B263))</f>
        <v/>
      </c>
      <c r="S263" s="10" t="str">
        <f>IF(B263="","",IF(D263="PV",COUNTIFS('Part Routes'!$B:$B,B263,'Part Routes'!$I:$I,""),IF(D263="HE",COUNTIFS('Part Routes'!$B:$B,B263,'Part Routes'!$J:$J,""),COUNTIFS('Part Routes'!$B:$B,B263,'Part Routes'!$I:$I,"")+COUNTIFS('Part Routes'!$B:$B,B263,'Part Routes'!$J:$J,""))))</f>
        <v/>
      </c>
      <c r="T263" s="10" t="str">
        <f t="shared" si="5"/>
        <v/>
      </c>
    </row>
    <row r="264" spans="1:20" x14ac:dyDescent="0.3">
      <c r="A264" s="9"/>
      <c r="B264" s="9"/>
      <c r="C264" s="9"/>
      <c r="D264" s="9"/>
      <c r="E264" s="9"/>
      <c r="F264" s="9"/>
      <c r="G264" s="9"/>
      <c r="H264" s="9"/>
      <c r="I264" s="9"/>
      <c r="J264" s="9"/>
      <c r="K264" s="9"/>
      <c r="L264" s="9"/>
      <c r="M264" s="9"/>
      <c r="N264" s="9"/>
      <c r="O264" s="9"/>
      <c r="P264" s="9"/>
      <c r="Q264" s="9"/>
      <c r="R264" s="10" t="str">
        <f>IF(B264="","",COUNTIF('Part Routes'!$B:$B,B264))</f>
        <v/>
      </c>
      <c r="S264" s="10" t="str">
        <f>IF(B264="","",IF(D264="PV",COUNTIFS('Part Routes'!$B:$B,B264,'Part Routes'!$I:$I,""),IF(D264="HE",COUNTIFS('Part Routes'!$B:$B,B264,'Part Routes'!$J:$J,""),COUNTIFS('Part Routes'!$B:$B,B264,'Part Routes'!$I:$I,"")+COUNTIFS('Part Routes'!$B:$B,B264,'Part Routes'!$J:$J,""))))</f>
        <v/>
      </c>
      <c r="T264" s="10" t="str">
        <f t="shared" si="5"/>
        <v/>
      </c>
    </row>
    <row r="265" spans="1:20" x14ac:dyDescent="0.3">
      <c r="A265" s="9"/>
      <c r="B265" s="9"/>
      <c r="C265" s="9"/>
      <c r="D265" s="9"/>
      <c r="E265" s="9"/>
      <c r="F265" s="9"/>
      <c r="G265" s="9"/>
      <c r="H265" s="9"/>
      <c r="I265" s="9"/>
      <c r="J265" s="9"/>
      <c r="K265" s="9"/>
      <c r="L265" s="9"/>
      <c r="M265" s="9"/>
      <c r="N265" s="9"/>
      <c r="O265" s="9"/>
      <c r="P265" s="9"/>
      <c r="Q265" s="9"/>
      <c r="R265" s="10" t="str">
        <f>IF(B265="","",COUNTIF('Part Routes'!$B:$B,B265))</f>
        <v/>
      </c>
      <c r="S265" s="10" t="str">
        <f>IF(B265="","",IF(D265="PV",COUNTIFS('Part Routes'!$B:$B,B265,'Part Routes'!$I:$I,""),IF(D265="HE",COUNTIFS('Part Routes'!$B:$B,B265,'Part Routes'!$J:$J,""),COUNTIFS('Part Routes'!$B:$B,B265,'Part Routes'!$I:$I,"")+COUNTIFS('Part Routes'!$B:$B,B265,'Part Routes'!$J:$J,""))))</f>
        <v/>
      </c>
      <c r="T265" s="10" t="str">
        <f t="shared" si="5"/>
        <v/>
      </c>
    </row>
    <row r="266" spans="1:20" x14ac:dyDescent="0.3">
      <c r="A266" s="9"/>
      <c r="B266" s="9"/>
      <c r="C266" s="9"/>
      <c r="D266" s="9"/>
      <c r="E266" s="9"/>
      <c r="F266" s="9"/>
      <c r="G266" s="9"/>
      <c r="H266" s="9"/>
      <c r="I266" s="9"/>
      <c r="J266" s="9"/>
      <c r="K266" s="9"/>
      <c r="L266" s="9"/>
      <c r="M266" s="9"/>
      <c r="N266" s="9"/>
      <c r="O266" s="9"/>
      <c r="P266" s="9"/>
      <c r="Q266" s="9"/>
      <c r="R266" s="10" t="str">
        <f>IF(B266="","",COUNTIF('Part Routes'!$B:$B,B266))</f>
        <v/>
      </c>
      <c r="S266" s="10" t="str">
        <f>IF(B266="","",IF(D266="PV",COUNTIFS('Part Routes'!$B:$B,B266,'Part Routes'!$I:$I,""),IF(D266="HE",COUNTIFS('Part Routes'!$B:$B,B266,'Part Routes'!$J:$J,""),COUNTIFS('Part Routes'!$B:$B,B266,'Part Routes'!$I:$I,"")+COUNTIFS('Part Routes'!$B:$B,B266,'Part Routes'!$J:$J,""))))</f>
        <v/>
      </c>
      <c r="T266" s="10" t="str">
        <f t="shared" si="5"/>
        <v/>
      </c>
    </row>
    <row r="267" spans="1:20" x14ac:dyDescent="0.3">
      <c r="A267" s="9"/>
      <c r="B267" s="9"/>
      <c r="C267" s="9"/>
      <c r="D267" s="9"/>
      <c r="E267" s="9"/>
      <c r="F267" s="9"/>
      <c r="G267" s="9"/>
      <c r="H267" s="9"/>
      <c r="I267" s="9"/>
      <c r="J267" s="9"/>
      <c r="K267" s="9"/>
      <c r="L267" s="9"/>
      <c r="M267" s="9"/>
      <c r="N267" s="9"/>
      <c r="O267" s="9"/>
      <c r="P267" s="9"/>
      <c r="Q267" s="9"/>
      <c r="R267" s="10" t="str">
        <f>IF(B267="","",COUNTIF('Part Routes'!$B:$B,B267))</f>
        <v/>
      </c>
      <c r="S267" s="10" t="str">
        <f>IF(B267="","",IF(D267="PV",COUNTIFS('Part Routes'!$B:$B,B267,'Part Routes'!$I:$I,""),IF(D267="HE",COUNTIFS('Part Routes'!$B:$B,B267,'Part Routes'!$J:$J,""),COUNTIFS('Part Routes'!$B:$B,B267,'Part Routes'!$I:$I,"")+COUNTIFS('Part Routes'!$B:$B,B267,'Part Routes'!$J:$J,""))))</f>
        <v/>
      </c>
      <c r="T267" s="10" t="str">
        <f t="shared" si="5"/>
        <v/>
      </c>
    </row>
    <row r="268" spans="1:20" x14ac:dyDescent="0.3">
      <c r="A268" s="9"/>
      <c r="B268" s="9"/>
      <c r="C268" s="9"/>
      <c r="D268" s="9"/>
      <c r="E268" s="9"/>
      <c r="F268" s="9"/>
      <c r="G268" s="9"/>
      <c r="H268" s="9"/>
      <c r="I268" s="9"/>
      <c r="J268" s="9"/>
      <c r="K268" s="9"/>
      <c r="L268" s="9"/>
      <c r="M268" s="9"/>
      <c r="N268" s="9"/>
      <c r="O268" s="9"/>
      <c r="P268" s="9"/>
      <c r="Q268" s="9"/>
      <c r="R268" s="10" t="str">
        <f>IF(B268="","",COUNTIF('Part Routes'!$B:$B,B268))</f>
        <v/>
      </c>
      <c r="S268" s="10" t="str">
        <f>IF(B268="","",IF(D268="PV",COUNTIFS('Part Routes'!$B:$B,B268,'Part Routes'!$I:$I,""),IF(D268="HE",COUNTIFS('Part Routes'!$B:$B,B268,'Part Routes'!$J:$J,""),COUNTIFS('Part Routes'!$B:$B,B268,'Part Routes'!$I:$I,"")+COUNTIFS('Part Routes'!$B:$B,B268,'Part Routes'!$J:$J,""))))</f>
        <v/>
      </c>
      <c r="T268" s="10" t="str">
        <f t="shared" si="5"/>
        <v/>
      </c>
    </row>
    <row r="269" spans="1:20" x14ac:dyDescent="0.3">
      <c r="A269" s="9"/>
      <c r="B269" s="9"/>
      <c r="C269" s="9"/>
      <c r="D269" s="9"/>
      <c r="E269" s="9"/>
      <c r="F269" s="9"/>
      <c r="G269" s="9"/>
      <c r="H269" s="9"/>
      <c r="I269" s="9"/>
      <c r="J269" s="9"/>
      <c r="K269" s="9"/>
      <c r="L269" s="9"/>
      <c r="M269" s="9"/>
      <c r="N269" s="9"/>
      <c r="O269" s="9"/>
      <c r="P269" s="9"/>
      <c r="Q269" s="9"/>
      <c r="R269" s="10" t="str">
        <f>IF(B269="","",COUNTIF('Part Routes'!$B:$B,B269))</f>
        <v/>
      </c>
      <c r="S269" s="10" t="str">
        <f>IF(B269="","",IF(D269="PV",COUNTIFS('Part Routes'!$B:$B,B269,'Part Routes'!$I:$I,""),IF(D269="HE",COUNTIFS('Part Routes'!$B:$B,B269,'Part Routes'!$J:$J,""),COUNTIFS('Part Routes'!$B:$B,B269,'Part Routes'!$I:$I,"")+COUNTIFS('Part Routes'!$B:$B,B269,'Part Routes'!$J:$J,""))))</f>
        <v/>
      </c>
      <c r="T269" s="10" t="str">
        <f t="shared" si="5"/>
        <v/>
      </c>
    </row>
    <row r="270" spans="1:20" x14ac:dyDescent="0.3">
      <c r="A270" s="9"/>
      <c r="B270" s="9"/>
      <c r="C270" s="9"/>
      <c r="D270" s="9"/>
      <c r="E270" s="9"/>
      <c r="F270" s="9"/>
      <c r="G270" s="9"/>
      <c r="H270" s="9"/>
      <c r="I270" s="9"/>
      <c r="J270" s="9"/>
      <c r="K270" s="9"/>
      <c r="L270" s="9"/>
      <c r="M270" s="9"/>
      <c r="N270" s="9"/>
      <c r="O270" s="9"/>
      <c r="P270" s="9"/>
      <c r="Q270" s="9"/>
      <c r="R270" s="10" t="str">
        <f>IF(B270="","",COUNTIF('Part Routes'!$B:$B,B270))</f>
        <v/>
      </c>
      <c r="S270" s="10" t="str">
        <f>IF(B270="","",IF(D270="PV",COUNTIFS('Part Routes'!$B:$B,B270,'Part Routes'!$I:$I,""),IF(D270="HE",COUNTIFS('Part Routes'!$B:$B,B270,'Part Routes'!$J:$J,""),COUNTIFS('Part Routes'!$B:$B,B270,'Part Routes'!$I:$I,"")+COUNTIFS('Part Routes'!$B:$B,B270,'Part Routes'!$J:$J,""))))</f>
        <v/>
      </c>
      <c r="T270" s="10" t="str">
        <f t="shared" si="5"/>
        <v/>
      </c>
    </row>
    <row r="271" spans="1:20" x14ac:dyDescent="0.3">
      <c r="A271" s="9"/>
      <c r="B271" s="9"/>
      <c r="C271" s="9"/>
      <c r="D271" s="9"/>
      <c r="E271" s="9"/>
      <c r="F271" s="9"/>
      <c r="G271" s="9"/>
      <c r="H271" s="9"/>
      <c r="I271" s="9"/>
      <c r="J271" s="9"/>
      <c r="K271" s="9"/>
      <c r="L271" s="9"/>
      <c r="M271" s="9"/>
      <c r="N271" s="9"/>
      <c r="O271" s="9"/>
      <c r="P271" s="9"/>
      <c r="Q271" s="9"/>
      <c r="R271" s="10" t="str">
        <f>IF(B271="","",COUNTIF('Part Routes'!$B:$B,B271))</f>
        <v/>
      </c>
      <c r="S271" s="10" t="str">
        <f>IF(B271="","",IF(D271="PV",COUNTIFS('Part Routes'!$B:$B,B271,'Part Routes'!$I:$I,""),IF(D271="HE",COUNTIFS('Part Routes'!$B:$B,B271,'Part Routes'!$J:$J,""),COUNTIFS('Part Routes'!$B:$B,B271,'Part Routes'!$I:$I,"")+COUNTIFS('Part Routes'!$B:$B,B271,'Part Routes'!$J:$J,""))))</f>
        <v/>
      </c>
      <c r="T271" s="10" t="str">
        <f t="shared" si="5"/>
        <v/>
      </c>
    </row>
    <row r="272" spans="1:20" x14ac:dyDescent="0.3">
      <c r="A272" s="9"/>
      <c r="B272" s="9"/>
      <c r="C272" s="9"/>
      <c r="D272" s="9"/>
      <c r="E272" s="9"/>
      <c r="F272" s="9"/>
      <c r="G272" s="9"/>
      <c r="H272" s="9"/>
      <c r="I272" s="9"/>
      <c r="J272" s="9"/>
      <c r="K272" s="9"/>
      <c r="L272" s="9"/>
      <c r="M272" s="9"/>
      <c r="N272" s="9"/>
      <c r="O272" s="9"/>
      <c r="P272" s="9"/>
      <c r="Q272" s="9"/>
      <c r="R272" s="10" t="str">
        <f>IF(B272="","",COUNTIF('Part Routes'!$B:$B,B272))</f>
        <v/>
      </c>
      <c r="S272" s="10" t="str">
        <f>IF(B272="","",IF(D272="PV",COUNTIFS('Part Routes'!$B:$B,B272,'Part Routes'!$I:$I,""),IF(D272="HE",COUNTIFS('Part Routes'!$B:$B,B272,'Part Routes'!$J:$J,""),COUNTIFS('Part Routes'!$B:$B,B272,'Part Routes'!$I:$I,"")+COUNTIFS('Part Routes'!$B:$B,B272,'Part Routes'!$J:$J,""))))</f>
        <v/>
      </c>
      <c r="T272" s="10" t="str">
        <f t="shared" si="5"/>
        <v/>
      </c>
    </row>
    <row r="273" spans="1:20" x14ac:dyDescent="0.3">
      <c r="A273" s="9"/>
      <c r="B273" s="9"/>
      <c r="C273" s="9"/>
      <c r="D273" s="9"/>
      <c r="E273" s="9"/>
      <c r="F273" s="9"/>
      <c r="G273" s="9"/>
      <c r="H273" s="9"/>
      <c r="I273" s="9"/>
      <c r="J273" s="9"/>
      <c r="K273" s="9"/>
      <c r="L273" s="9"/>
      <c r="M273" s="9"/>
      <c r="N273" s="9"/>
      <c r="O273" s="9"/>
      <c r="P273" s="9"/>
      <c r="Q273" s="9"/>
      <c r="R273" s="10" t="str">
        <f>IF(B273="","",COUNTIF('Part Routes'!$B:$B,B273))</f>
        <v/>
      </c>
      <c r="S273" s="10" t="str">
        <f>IF(B273="","",IF(D273="PV",COUNTIFS('Part Routes'!$B:$B,B273,'Part Routes'!$I:$I,""),IF(D273="HE",COUNTIFS('Part Routes'!$B:$B,B273,'Part Routes'!$J:$J,""),COUNTIFS('Part Routes'!$B:$B,B273,'Part Routes'!$I:$I,"")+COUNTIFS('Part Routes'!$B:$B,B273,'Part Routes'!$J:$J,""))))</f>
        <v/>
      </c>
      <c r="T273" s="10" t="str">
        <f t="shared" si="5"/>
        <v/>
      </c>
    </row>
    <row r="274" spans="1:20" x14ac:dyDescent="0.3">
      <c r="A274" s="9"/>
      <c r="B274" s="9"/>
      <c r="C274" s="9"/>
      <c r="D274" s="9"/>
      <c r="E274" s="9"/>
      <c r="F274" s="9"/>
      <c r="G274" s="9"/>
      <c r="H274" s="9"/>
      <c r="I274" s="9"/>
      <c r="J274" s="9"/>
      <c r="K274" s="9"/>
      <c r="L274" s="9"/>
      <c r="M274" s="9"/>
      <c r="N274" s="9"/>
      <c r="O274" s="9"/>
      <c r="P274" s="9"/>
      <c r="Q274" s="9"/>
      <c r="R274" s="10" t="str">
        <f>IF(B274="","",COUNTIF('Part Routes'!$B:$B,B274))</f>
        <v/>
      </c>
      <c r="S274" s="10" t="str">
        <f>IF(B274="","",IF(D274="PV",COUNTIFS('Part Routes'!$B:$B,B274,'Part Routes'!$I:$I,""),IF(D274="HE",COUNTIFS('Part Routes'!$B:$B,B274,'Part Routes'!$J:$J,""),COUNTIFS('Part Routes'!$B:$B,B274,'Part Routes'!$I:$I,"")+COUNTIFS('Part Routes'!$B:$B,B274,'Part Routes'!$J:$J,""))))</f>
        <v/>
      </c>
      <c r="T274" s="10" t="str">
        <f t="shared" si="5"/>
        <v/>
      </c>
    </row>
    <row r="275" spans="1:20" x14ac:dyDescent="0.3">
      <c r="A275" s="9"/>
      <c r="B275" s="9"/>
      <c r="C275" s="9"/>
      <c r="D275" s="9"/>
      <c r="E275" s="9"/>
      <c r="F275" s="9"/>
      <c r="G275" s="9"/>
      <c r="H275" s="9"/>
      <c r="I275" s="9"/>
      <c r="J275" s="9"/>
      <c r="K275" s="9"/>
      <c r="L275" s="9"/>
      <c r="M275" s="9"/>
      <c r="N275" s="9"/>
      <c r="O275" s="9"/>
      <c r="P275" s="9"/>
      <c r="Q275" s="9"/>
      <c r="R275" s="10" t="str">
        <f>IF(B275="","",COUNTIF('Part Routes'!$B:$B,B275))</f>
        <v/>
      </c>
      <c r="S275" s="10" t="str">
        <f>IF(B275="","",IF(D275="PV",COUNTIFS('Part Routes'!$B:$B,B275,'Part Routes'!$I:$I,""),IF(D275="HE",COUNTIFS('Part Routes'!$B:$B,B275,'Part Routes'!$J:$J,""),COUNTIFS('Part Routes'!$B:$B,B275,'Part Routes'!$I:$I,"")+COUNTIFS('Part Routes'!$B:$B,B275,'Part Routes'!$J:$J,""))))</f>
        <v/>
      </c>
      <c r="T275" s="10" t="str">
        <f t="shared" si="5"/>
        <v/>
      </c>
    </row>
    <row r="276" spans="1:20" x14ac:dyDescent="0.3">
      <c r="A276" s="9"/>
      <c r="B276" s="9"/>
      <c r="C276" s="9"/>
      <c r="D276" s="9"/>
      <c r="E276" s="9"/>
      <c r="F276" s="9"/>
      <c r="G276" s="9"/>
      <c r="H276" s="9"/>
      <c r="I276" s="9"/>
      <c r="J276" s="9"/>
      <c r="K276" s="9"/>
      <c r="L276" s="9"/>
      <c r="M276" s="9"/>
      <c r="N276" s="9"/>
      <c r="O276" s="9"/>
      <c r="P276" s="9"/>
      <c r="Q276" s="9"/>
      <c r="R276" s="10" t="str">
        <f>IF(B276="","",COUNTIF('Part Routes'!$B:$B,B276))</f>
        <v/>
      </c>
      <c r="S276" s="10" t="str">
        <f>IF(B276="","",IF(D276="PV",COUNTIFS('Part Routes'!$B:$B,B276,'Part Routes'!$I:$I,""),IF(D276="HE",COUNTIFS('Part Routes'!$B:$B,B276,'Part Routes'!$J:$J,""),COUNTIFS('Part Routes'!$B:$B,B276,'Part Routes'!$I:$I,"")+COUNTIFS('Part Routes'!$B:$B,B276,'Part Routes'!$J:$J,""))))</f>
        <v/>
      </c>
      <c r="T276" s="10" t="str">
        <f t="shared" si="5"/>
        <v/>
      </c>
    </row>
    <row r="277" spans="1:20" x14ac:dyDescent="0.3">
      <c r="A277" s="9"/>
      <c r="B277" s="9"/>
      <c r="C277" s="9"/>
      <c r="D277" s="9"/>
      <c r="E277" s="9"/>
      <c r="F277" s="9"/>
      <c r="G277" s="9"/>
      <c r="H277" s="9"/>
      <c r="I277" s="9"/>
      <c r="J277" s="9"/>
      <c r="K277" s="9"/>
      <c r="L277" s="9"/>
      <c r="M277" s="9"/>
      <c r="N277" s="9"/>
      <c r="O277" s="9"/>
      <c r="P277" s="9"/>
      <c r="Q277" s="9"/>
      <c r="R277" s="10" t="str">
        <f>IF(B277="","",COUNTIF('Part Routes'!$B:$B,B277))</f>
        <v/>
      </c>
      <c r="S277" s="10" t="str">
        <f>IF(B277="","",IF(D277="PV",COUNTIFS('Part Routes'!$B:$B,B277,'Part Routes'!$I:$I,""),IF(D277="HE",COUNTIFS('Part Routes'!$B:$B,B277,'Part Routes'!$J:$J,""),COUNTIFS('Part Routes'!$B:$B,B277,'Part Routes'!$I:$I,"")+COUNTIFS('Part Routes'!$B:$B,B277,'Part Routes'!$J:$J,""))))</f>
        <v/>
      </c>
      <c r="T277" s="10" t="str">
        <f t="shared" si="5"/>
        <v/>
      </c>
    </row>
    <row r="278" spans="1:20" x14ac:dyDescent="0.3">
      <c r="A278" s="9"/>
      <c r="B278" s="9"/>
      <c r="C278" s="9"/>
      <c r="D278" s="9"/>
      <c r="E278" s="9"/>
      <c r="F278" s="9"/>
      <c r="G278" s="9"/>
      <c r="H278" s="9"/>
      <c r="I278" s="9"/>
      <c r="J278" s="9"/>
      <c r="K278" s="9"/>
      <c r="L278" s="9"/>
      <c r="M278" s="9"/>
      <c r="N278" s="9"/>
      <c r="O278" s="9"/>
      <c r="P278" s="9"/>
      <c r="Q278" s="9"/>
      <c r="R278" s="10" t="str">
        <f>IF(B278="","",COUNTIF('Part Routes'!$B:$B,B278))</f>
        <v/>
      </c>
      <c r="S278" s="10" t="str">
        <f>IF(B278="","",IF(D278="PV",COUNTIFS('Part Routes'!$B:$B,B278,'Part Routes'!$I:$I,""),IF(D278="HE",COUNTIFS('Part Routes'!$B:$B,B278,'Part Routes'!$J:$J,""),COUNTIFS('Part Routes'!$B:$B,B278,'Part Routes'!$I:$I,"")+COUNTIFS('Part Routes'!$B:$B,B278,'Part Routes'!$J:$J,""))))</f>
        <v/>
      </c>
      <c r="T278" s="10" t="str">
        <f t="shared" si="5"/>
        <v/>
      </c>
    </row>
    <row r="279" spans="1:20" x14ac:dyDescent="0.3">
      <c r="A279" s="9"/>
      <c r="B279" s="9"/>
      <c r="C279" s="9"/>
      <c r="D279" s="9"/>
      <c r="E279" s="9"/>
      <c r="F279" s="9"/>
      <c r="G279" s="9"/>
      <c r="H279" s="9"/>
      <c r="I279" s="9"/>
      <c r="J279" s="9"/>
      <c r="K279" s="9"/>
      <c r="L279" s="9"/>
      <c r="M279" s="9"/>
      <c r="N279" s="9"/>
      <c r="O279" s="9"/>
      <c r="P279" s="9"/>
      <c r="Q279" s="9"/>
      <c r="R279" s="10" t="str">
        <f>IF(B279="","",COUNTIF('Part Routes'!$B:$B,B279))</f>
        <v/>
      </c>
      <c r="S279" s="10" t="str">
        <f>IF(B279="","",IF(D279="PV",COUNTIFS('Part Routes'!$B:$B,B279,'Part Routes'!$I:$I,""),IF(D279="HE",COUNTIFS('Part Routes'!$B:$B,B279,'Part Routes'!$J:$J,""),COUNTIFS('Part Routes'!$B:$B,B279,'Part Routes'!$I:$I,"")+COUNTIFS('Part Routes'!$B:$B,B279,'Part Routes'!$J:$J,""))))</f>
        <v/>
      </c>
      <c r="T279" s="10" t="str">
        <f t="shared" si="5"/>
        <v/>
      </c>
    </row>
    <row r="280" spans="1:20" x14ac:dyDescent="0.3">
      <c r="A280" s="9"/>
      <c r="B280" s="9"/>
      <c r="C280" s="9"/>
      <c r="D280" s="9"/>
      <c r="E280" s="9"/>
      <c r="F280" s="9"/>
      <c r="G280" s="9"/>
      <c r="H280" s="9"/>
      <c r="I280" s="9"/>
      <c r="J280" s="9"/>
      <c r="K280" s="9"/>
      <c r="L280" s="9"/>
      <c r="M280" s="9"/>
      <c r="N280" s="9"/>
      <c r="O280" s="9"/>
      <c r="P280" s="9"/>
      <c r="Q280" s="9"/>
      <c r="R280" s="10" t="str">
        <f>IF(B280="","",COUNTIF('Part Routes'!$B:$B,B280))</f>
        <v/>
      </c>
      <c r="S280" s="10" t="str">
        <f>IF(B280="","",IF(D280="PV",COUNTIFS('Part Routes'!$B:$B,B280,'Part Routes'!$I:$I,""),IF(D280="HE",COUNTIFS('Part Routes'!$B:$B,B280,'Part Routes'!$J:$J,""),COUNTIFS('Part Routes'!$B:$B,B280,'Part Routes'!$I:$I,"")+COUNTIFS('Part Routes'!$B:$B,B280,'Part Routes'!$J:$J,""))))</f>
        <v/>
      </c>
      <c r="T280" s="10" t="str">
        <f t="shared" si="5"/>
        <v/>
      </c>
    </row>
    <row r="281" spans="1:20" x14ac:dyDescent="0.3">
      <c r="A281" s="9"/>
      <c r="B281" s="9"/>
      <c r="C281" s="9"/>
      <c r="D281" s="9"/>
      <c r="E281" s="9"/>
      <c r="F281" s="9"/>
      <c r="G281" s="9"/>
      <c r="H281" s="9"/>
      <c r="I281" s="9"/>
      <c r="J281" s="9"/>
      <c r="K281" s="9"/>
      <c r="L281" s="9"/>
      <c r="M281" s="9"/>
      <c r="N281" s="9"/>
      <c r="O281" s="9"/>
      <c r="P281" s="9"/>
      <c r="Q281" s="9"/>
      <c r="R281" s="10" t="str">
        <f>IF(B281="","",COUNTIF('Part Routes'!$B:$B,B281))</f>
        <v/>
      </c>
      <c r="S281" s="10" t="str">
        <f>IF(B281="","",IF(D281="PV",COUNTIFS('Part Routes'!$B:$B,B281,'Part Routes'!$I:$I,""),IF(D281="HE",COUNTIFS('Part Routes'!$B:$B,B281,'Part Routes'!$J:$J,""),COUNTIFS('Part Routes'!$B:$B,B281,'Part Routes'!$I:$I,"")+COUNTIFS('Part Routes'!$B:$B,B281,'Part Routes'!$J:$J,""))))</f>
        <v/>
      </c>
      <c r="T281" s="10" t="str">
        <f t="shared" si="5"/>
        <v/>
      </c>
    </row>
    <row r="282" spans="1:20" x14ac:dyDescent="0.3">
      <c r="A282" s="9"/>
      <c r="B282" s="9"/>
      <c r="C282" s="9"/>
      <c r="D282" s="9"/>
      <c r="E282" s="9"/>
      <c r="F282" s="9"/>
      <c r="G282" s="9"/>
      <c r="H282" s="9"/>
      <c r="I282" s="9"/>
      <c r="J282" s="9"/>
      <c r="K282" s="9"/>
      <c r="L282" s="9"/>
      <c r="M282" s="9"/>
      <c r="N282" s="9"/>
      <c r="O282" s="9"/>
      <c r="P282" s="9"/>
      <c r="Q282" s="9"/>
      <c r="R282" s="10" t="str">
        <f>IF(B282="","",COUNTIF('Part Routes'!$B:$B,B282))</f>
        <v/>
      </c>
      <c r="S282" s="10" t="str">
        <f>IF(B282="","",IF(D282="PV",COUNTIFS('Part Routes'!$B:$B,B282,'Part Routes'!$I:$I,""),IF(D282="HE",COUNTIFS('Part Routes'!$B:$B,B282,'Part Routes'!$J:$J,""),COUNTIFS('Part Routes'!$B:$B,B282,'Part Routes'!$I:$I,"")+COUNTIFS('Part Routes'!$B:$B,B282,'Part Routes'!$J:$J,""))))</f>
        <v/>
      </c>
      <c r="T282" s="10" t="str">
        <f t="shared" si="5"/>
        <v/>
      </c>
    </row>
    <row r="283" spans="1:20" x14ac:dyDescent="0.3">
      <c r="A283" s="9"/>
      <c r="B283" s="9"/>
      <c r="C283" s="9"/>
      <c r="D283" s="9"/>
      <c r="E283" s="9"/>
      <c r="F283" s="9"/>
      <c r="G283" s="9"/>
      <c r="H283" s="9"/>
      <c r="I283" s="9"/>
      <c r="J283" s="9"/>
      <c r="K283" s="9"/>
      <c r="L283" s="9"/>
      <c r="M283" s="9"/>
      <c r="N283" s="9"/>
      <c r="O283" s="9"/>
      <c r="P283" s="9"/>
      <c r="Q283" s="9"/>
      <c r="R283" s="10" t="str">
        <f>IF(B283="","",COUNTIF('Part Routes'!$B:$B,B283))</f>
        <v/>
      </c>
      <c r="S283" s="10" t="str">
        <f>IF(B283="","",IF(D283="PV",COUNTIFS('Part Routes'!$B:$B,B283,'Part Routes'!$I:$I,""),IF(D283="HE",COUNTIFS('Part Routes'!$B:$B,B283,'Part Routes'!$J:$J,""),COUNTIFS('Part Routes'!$B:$B,B283,'Part Routes'!$I:$I,"")+COUNTIFS('Part Routes'!$B:$B,B283,'Part Routes'!$J:$J,""))))</f>
        <v/>
      </c>
      <c r="T283" s="10" t="str">
        <f t="shared" si="5"/>
        <v/>
      </c>
    </row>
    <row r="284" spans="1:20" x14ac:dyDescent="0.3">
      <c r="A284" s="9"/>
      <c r="B284" s="9"/>
      <c r="C284" s="9"/>
      <c r="D284" s="9"/>
      <c r="E284" s="9"/>
      <c r="F284" s="9"/>
      <c r="G284" s="9"/>
      <c r="H284" s="9"/>
      <c r="I284" s="9"/>
      <c r="J284" s="9"/>
      <c r="K284" s="9"/>
      <c r="L284" s="9"/>
      <c r="M284" s="9"/>
      <c r="N284" s="9"/>
      <c r="O284" s="9"/>
      <c r="P284" s="9"/>
      <c r="Q284" s="9"/>
      <c r="R284" s="10" t="str">
        <f>IF(B284="","",COUNTIF('Part Routes'!$B:$B,B284))</f>
        <v/>
      </c>
      <c r="S284" s="10" t="str">
        <f>IF(B284="","",IF(D284="PV",COUNTIFS('Part Routes'!$B:$B,B284,'Part Routes'!$I:$I,""),IF(D284="HE",COUNTIFS('Part Routes'!$B:$B,B284,'Part Routes'!$J:$J,""),COUNTIFS('Part Routes'!$B:$B,B284,'Part Routes'!$I:$I,"")+COUNTIFS('Part Routes'!$B:$B,B284,'Part Routes'!$J:$J,""))))</f>
        <v/>
      </c>
      <c r="T284" s="10" t="str">
        <f t="shared" si="5"/>
        <v/>
      </c>
    </row>
    <row r="285" spans="1:20" x14ac:dyDescent="0.3">
      <c r="A285" s="9"/>
      <c r="B285" s="9"/>
      <c r="C285" s="9"/>
      <c r="D285" s="9"/>
      <c r="E285" s="9"/>
      <c r="F285" s="9"/>
      <c r="G285" s="9"/>
      <c r="H285" s="9"/>
      <c r="I285" s="9"/>
      <c r="J285" s="9"/>
      <c r="K285" s="9"/>
      <c r="L285" s="9"/>
      <c r="M285" s="9"/>
      <c r="N285" s="9"/>
      <c r="O285" s="9"/>
      <c r="P285" s="9"/>
      <c r="Q285" s="9"/>
      <c r="R285" s="10" t="str">
        <f>IF(B285="","",COUNTIF('Part Routes'!$B:$B,B285))</f>
        <v/>
      </c>
      <c r="S285" s="10" t="str">
        <f>IF(B285="","",IF(D285="PV",COUNTIFS('Part Routes'!$B:$B,B285,'Part Routes'!$I:$I,""),IF(D285="HE",COUNTIFS('Part Routes'!$B:$B,B285,'Part Routes'!$J:$J,""),COUNTIFS('Part Routes'!$B:$B,B285,'Part Routes'!$I:$I,"")+COUNTIFS('Part Routes'!$B:$B,B285,'Part Routes'!$J:$J,""))))</f>
        <v/>
      </c>
      <c r="T285" s="10" t="str">
        <f t="shared" si="5"/>
        <v/>
      </c>
    </row>
    <row r="286" spans="1:20" x14ac:dyDescent="0.3">
      <c r="A286" s="9"/>
      <c r="B286" s="9"/>
      <c r="C286" s="9"/>
      <c r="D286" s="9"/>
      <c r="E286" s="9"/>
      <c r="F286" s="9"/>
      <c r="G286" s="9"/>
      <c r="H286" s="9"/>
      <c r="I286" s="9"/>
      <c r="J286" s="9"/>
      <c r="K286" s="9"/>
      <c r="L286" s="9"/>
      <c r="M286" s="9"/>
      <c r="N286" s="9"/>
      <c r="O286" s="9"/>
      <c r="P286" s="9"/>
      <c r="Q286" s="9"/>
      <c r="R286" s="10" t="str">
        <f>IF(B286="","",COUNTIF('Part Routes'!$B:$B,B286))</f>
        <v/>
      </c>
      <c r="S286" s="10" t="str">
        <f>IF(B286="","",IF(D286="PV",COUNTIFS('Part Routes'!$B:$B,B286,'Part Routes'!$I:$I,""),IF(D286="HE",COUNTIFS('Part Routes'!$B:$B,B286,'Part Routes'!$J:$J,""),COUNTIFS('Part Routes'!$B:$B,B286,'Part Routes'!$I:$I,"")+COUNTIFS('Part Routes'!$B:$B,B286,'Part Routes'!$J:$J,""))))</f>
        <v/>
      </c>
      <c r="T286" s="10" t="str">
        <f t="shared" si="5"/>
        <v/>
      </c>
    </row>
    <row r="287" spans="1:20" x14ac:dyDescent="0.3">
      <c r="A287" s="9"/>
      <c r="B287" s="9"/>
      <c r="C287" s="9"/>
      <c r="D287" s="9"/>
      <c r="E287" s="9"/>
      <c r="F287" s="9"/>
      <c r="G287" s="9"/>
      <c r="H287" s="9"/>
      <c r="I287" s="9"/>
      <c r="J287" s="9"/>
      <c r="K287" s="9"/>
      <c r="L287" s="9"/>
      <c r="M287" s="9"/>
      <c r="N287" s="9"/>
      <c r="O287" s="9"/>
      <c r="P287" s="9"/>
      <c r="Q287" s="9"/>
      <c r="R287" s="10" t="str">
        <f>IF(B287="","",COUNTIF('Part Routes'!$B:$B,B287))</f>
        <v/>
      </c>
      <c r="S287" s="10" t="str">
        <f>IF(B287="","",IF(D287="PV",COUNTIFS('Part Routes'!$B:$B,B287,'Part Routes'!$I:$I,""),IF(D287="HE",COUNTIFS('Part Routes'!$B:$B,B287,'Part Routes'!$J:$J,""),COUNTIFS('Part Routes'!$B:$B,B287,'Part Routes'!$I:$I,"")+COUNTIFS('Part Routes'!$B:$B,B287,'Part Routes'!$J:$J,""))))</f>
        <v/>
      </c>
      <c r="T287" s="10" t="str">
        <f t="shared" si="5"/>
        <v/>
      </c>
    </row>
    <row r="288" spans="1:20" x14ac:dyDescent="0.3">
      <c r="A288" s="9"/>
      <c r="B288" s="9"/>
      <c r="C288" s="9"/>
      <c r="D288" s="9"/>
      <c r="E288" s="9"/>
      <c r="F288" s="9"/>
      <c r="G288" s="9"/>
      <c r="H288" s="9"/>
      <c r="I288" s="9"/>
      <c r="J288" s="9"/>
      <c r="K288" s="9"/>
      <c r="L288" s="9"/>
      <c r="M288" s="9"/>
      <c r="N288" s="9"/>
      <c r="O288" s="9"/>
      <c r="P288" s="9"/>
      <c r="Q288" s="9"/>
      <c r="R288" s="10" t="str">
        <f>IF(B288="","",COUNTIF('Part Routes'!$B:$B,B288))</f>
        <v/>
      </c>
      <c r="S288" s="10" t="str">
        <f>IF(B288="","",IF(D288="PV",COUNTIFS('Part Routes'!$B:$B,B288,'Part Routes'!$I:$I,""),IF(D288="HE",COUNTIFS('Part Routes'!$B:$B,B288,'Part Routes'!$J:$J,""),COUNTIFS('Part Routes'!$B:$B,B288,'Part Routes'!$I:$I,"")+COUNTIFS('Part Routes'!$B:$B,B288,'Part Routes'!$J:$J,""))))</f>
        <v/>
      </c>
      <c r="T288" s="10" t="str">
        <f t="shared" si="5"/>
        <v/>
      </c>
    </row>
    <row r="289" spans="1:20" x14ac:dyDescent="0.3">
      <c r="A289" s="9"/>
      <c r="B289" s="9"/>
      <c r="C289" s="9"/>
      <c r="D289" s="9"/>
      <c r="E289" s="9"/>
      <c r="F289" s="9"/>
      <c r="G289" s="9"/>
      <c r="H289" s="9"/>
      <c r="I289" s="9"/>
      <c r="J289" s="9"/>
      <c r="K289" s="9"/>
      <c r="L289" s="9"/>
      <c r="M289" s="9"/>
      <c r="N289" s="9"/>
      <c r="O289" s="9"/>
      <c r="P289" s="9"/>
      <c r="Q289" s="9"/>
      <c r="R289" s="10" t="str">
        <f>IF(B289="","",COUNTIF('Part Routes'!$B:$B,B289))</f>
        <v/>
      </c>
      <c r="S289" s="10" t="str">
        <f>IF(B289="","",IF(D289="PV",COUNTIFS('Part Routes'!$B:$B,B289,'Part Routes'!$I:$I,""),IF(D289="HE",COUNTIFS('Part Routes'!$B:$B,B289,'Part Routes'!$J:$J,""),COUNTIFS('Part Routes'!$B:$B,B289,'Part Routes'!$I:$I,"")+COUNTIFS('Part Routes'!$B:$B,B289,'Part Routes'!$J:$J,""))))</f>
        <v/>
      </c>
      <c r="T289" s="10" t="str">
        <f t="shared" si="5"/>
        <v/>
      </c>
    </row>
    <row r="290" spans="1:20" x14ac:dyDescent="0.3">
      <c r="A290" s="9"/>
      <c r="B290" s="9"/>
      <c r="C290" s="9"/>
      <c r="D290" s="9"/>
      <c r="E290" s="9"/>
      <c r="F290" s="9"/>
      <c r="G290" s="9"/>
      <c r="H290" s="9"/>
      <c r="I290" s="9"/>
      <c r="J290" s="9"/>
      <c r="K290" s="9"/>
      <c r="L290" s="9"/>
      <c r="M290" s="9"/>
      <c r="N290" s="9"/>
      <c r="O290" s="9"/>
      <c r="P290" s="9"/>
      <c r="Q290" s="9"/>
      <c r="R290" s="10" t="str">
        <f>IF(B290="","",COUNTIF('Part Routes'!$B:$B,B290))</f>
        <v/>
      </c>
      <c r="S290" s="10" t="str">
        <f>IF(B290="","",IF(D290="PV",COUNTIFS('Part Routes'!$B:$B,B290,'Part Routes'!$I:$I,""),IF(D290="HE",COUNTIFS('Part Routes'!$B:$B,B290,'Part Routes'!$J:$J,""),COUNTIFS('Part Routes'!$B:$B,B290,'Part Routes'!$I:$I,"")+COUNTIFS('Part Routes'!$B:$B,B290,'Part Routes'!$J:$J,""))))</f>
        <v/>
      </c>
      <c r="T290" s="10" t="str">
        <f t="shared" si="5"/>
        <v/>
      </c>
    </row>
    <row r="291" spans="1:20" x14ac:dyDescent="0.3">
      <c r="A291" s="9"/>
      <c r="B291" s="9"/>
      <c r="C291" s="9"/>
      <c r="D291" s="9"/>
      <c r="E291" s="9"/>
      <c r="F291" s="9"/>
      <c r="G291" s="9"/>
      <c r="H291" s="9"/>
      <c r="I291" s="9"/>
      <c r="J291" s="9"/>
      <c r="K291" s="9"/>
      <c r="L291" s="9"/>
      <c r="M291" s="9"/>
      <c r="N291" s="9"/>
      <c r="O291" s="9"/>
      <c r="P291" s="9"/>
      <c r="Q291" s="9"/>
      <c r="R291" s="10" t="str">
        <f>IF(B291="","",COUNTIF('Part Routes'!$B:$B,B291))</f>
        <v/>
      </c>
      <c r="S291" s="10" t="str">
        <f>IF(B291="","",IF(D291="PV",COUNTIFS('Part Routes'!$B:$B,B291,'Part Routes'!$I:$I,""),IF(D291="HE",COUNTIFS('Part Routes'!$B:$B,B291,'Part Routes'!$J:$J,""),COUNTIFS('Part Routes'!$B:$B,B291,'Part Routes'!$I:$I,"")+COUNTIFS('Part Routes'!$B:$B,B291,'Part Routes'!$J:$J,""))))</f>
        <v/>
      </c>
      <c r="T291" s="10" t="str">
        <f t="shared" si="5"/>
        <v/>
      </c>
    </row>
    <row r="292" spans="1:20" x14ac:dyDescent="0.3">
      <c r="A292" s="9"/>
      <c r="B292" s="9"/>
      <c r="C292" s="9"/>
      <c r="D292" s="9"/>
      <c r="E292" s="9"/>
      <c r="F292" s="9"/>
      <c r="G292" s="9"/>
      <c r="H292" s="9"/>
      <c r="I292" s="9"/>
      <c r="J292" s="9"/>
      <c r="K292" s="9"/>
      <c r="L292" s="9"/>
      <c r="M292" s="9"/>
      <c r="N292" s="9"/>
      <c r="O292" s="9"/>
      <c r="P292" s="9"/>
      <c r="Q292" s="9"/>
      <c r="R292" s="10" t="str">
        <f>IF(B292="","",COUNTIF('Part Routes'!$B:$B,B292))</f>
        <v/>
      </c>
      <c r="S292" s="10" t="str">
        <f>IF(B292="","",IF(D292="PV",COUNTIFS('Part Routes'!$B:$B,B292,'Part Routes'!$I:$I,""),IF(D292="HE",COUNTIFS('Part Routes'!$B:$B,B292,'Part Routes'!$J:$J,""),COUNTIFS('Part Routes'!$B:$B,B292,'Part Routes'!$I:$I,"")+COUNTIFS('Part Routes'!$B:$B,B292,'Part Routes'!$J:$J,""))))</f>
        <v/>
      </c>
      <c r="T292" s="10" t="str">
        <f t="shared" si="5"/>
        <v/>
      </c>
    </row>
    <row r="293" spans="1:20" x14ac:dyDescent="0.3">
      <c r="A293" s="9"/>
      <c r="B293" s="9"/>
      <c r="C293" s="9"/>
      <c r="D293" s="9"/>
      <c r="E293" s="9"/>
      <c r="F293" s="9"/>
      <c r="G293" s="9"/>
      <c r="H293" s="9"/>
      <c r="I293" s="9"/>
      <c r="J293" s="9"/>
      <c r="K293" s="9"/>
      <c r="L293" s="9"/>
      <c r="M293" s="9"/>
      <c r="N293" s="9"/>
      <c r="O293" s="9"/>
      <c r="P293" s="9"/>
      <c r="Q293" s="9"/>
      <c r="R293" s="10" t="str">
        <f>IF(B293="","",COUNTIF('Part Routes'!$B:$B,B293))</f>
        <v/>
      </c>
      <c r="S293" s="10" t="str">
        <f>IF(B293="","",IF(D293="PV",COUNTIFS('Part Routes'!$B:$B,B293,'Part Routes'!$I:$I,""),IF(D293="HE",COUNTIFS('Part Routes'!$B:$B,B293,'Part Routes'!$J:$J,""),COUNTIFS('Part Routes'!$B:$B,B293,'Part Routes'!$I:$I,"")+COUNTIFS('Part Routes'!$B:$B,B293,'Part Routes'!$J:$J,""))))</f>
        <v/>
      </c>
      <c r="T293" s="10" t="str">
        <f t="shared" si="5"/>
        <v/>
      </c>
    </row>
    <row r="294" spans="1:20" x14ac:dyDescent="0.3">
      <c r="A294" s="9"/>
      <c r="B294" s="9"/>
      <c r="C294" s="9"/>
      <c r="D294" s="9"/>
      <c r="E294" s="9"/>
      <c r="F294" s="9"/>
      <c r="G294" s="9"/>
      <c r="H294" s="9"/>
      <c r="I294" s="9"/>
      <c r="J294" s="9"/>
      <c r="K294" s="9"/>
      <c r="L294" s="9"/>
      <c r="M294" s="9"/>
      <c r="N294" s="9"/>
      <c r="O294" s="9"/>
      <c r="P294" s="9"/>
      <c r="Q294" s="9"/>
      <c r="R294" s="10" t="str">
        <f>IF(B294="","",COUNTIF('Part Routes'!$B:$B,B294))</f>
        <v/>
      </c>
      <c r="S294" s="10" t="str">
        <f>IF(B294="","",IF(D294="PV",COUNTIFS('Part Routes'!$B:$B,B294,'Part Routes'!$I:$I,""),IF(D294="HE",COUNTIFS('Part Routes'!$B:$B,B294,'Part Routes'!$J:$J,""),COUNTIFS('Part Routes'!$B:$B,B294,'Part Routes'!$I:$I,"")+COUNTIFS('Part Routes'!$B:$B,B294,'Part Routes'!$J:$J,""))))</f>
        <v/>
      </c>
      <c r="T294" s="10" t="str">
        <f t="shared" si="5"/>
        <v/>
      </c>
    </row>
    <row r="295" spans="1:20" x14ac:dyDescent="0.3">
      <c r="A295" s="9"/>
      <c r="B295" s="9"/>
      <c r="C295" s="9"/>
      <c r="D295" s="9"/>
      <c r="E295" s="9"/>
      <c r="F295" s="9"/>
      <c r="G295" s="9"/>
      <c r="H295" s="9"/>
      <c r="I295" s="9"/>
      <c r="J295" s="9"/>
      <c r="K295" s="9"/>
      <c r="L295" s="9"/>
      <c r="M295" s="9"/>
      <c r="N295" s="9"/>
      <c r="O295" s="9"/>
      <c r="P295" s="9"/>
      <c r="Q295" s="9"/>
      <c r="R295" s="10" t="str">
        <f>IF(B295="","",COUNTIF('Part Routes'!$B:$B,B295))</f>
        <v/>
      </c>
      <c r="S295" s="10" t="str">
        <f>IF(B295="","",IF(D295="PV",COUNTIFS('Part Routes'!$B:$B,B295,'Part Routes'!$I:$I,""),IF(D295="HE",COUNTIFS('Part Routes'!$B:$B,B295,'Part Routes'!$J:$J,""),COUNTIFS('Part Routes'!$B:$B,B295,'Part Routes'!$I:$I,"")+COUNTIFS('Part Routes'!$B:$B,B295,'Part Routes'!$J:$J,""))))</f>
        <v/>
      </c>
      <c r="T295" s="10" t="str">
        <f t="shared" si="5"/>
        <v/>
      </c>
    </row>
    <row r="296" spans="1:20" x14ac:dyDescent="0.3">
      <c r="A296" s="9"/>
      <c r="B296" s="9"/>
      <c r="C296" s="9"/>
      <c r="D296" s="9"/>
      <c r="E296" s="9"/>
      <c r="F296" s="9"/>
      <c r="G296" s="9"/>
      <c r="H296" s="9"/>
      <c r="I296" s="9"/>
      <c r="J296" s="9"/>
      <c r="K296" s="9"/>
      <c r="L296" s="9"/>
      <c r="M296" s="9"/>
      <c r="N296" s="9"/>
      <c r="O296" s="9"/>
      <c r="P296" s="9"/>
      <c r="Q296" s="9"/>
      <c r="R296" s="10" t="str">
        <f>IF(B296="","",COUNTIF('Part Routes'!$B:$B,B296))</f>
        <v/>
      </c>
      <c r="S296" s="10" t="str">
        <f>IF(B296="","",IF(D296="PV",COUNTIFS('Part Routes'!$B:$B,B296,'Part Routes'!$I:$I,""),IF(D296="HE",COUNTIFS('Part Routes'!$B:$B,B296,'Part Routes'!$J:$J,""),COUNTIFS('Part Routes'!$B:$B,B296,'Part Routes'!$I:$I,"")+COUNTIFS('Part Routes'!$B:$B,B296,'Part Routes'!$J:$J,""))))</f>
        <v/>
      </c>
      <c r="T296" s="10" t="str">
        <f t="shared" si="5"/>
        <v/>
      </c>
    </row>
    <row r="297" spans="1:20" x14ac:dyDescent="0.3">
      <c r="A297" s="9"/>
      <c r="B297" s="9"/>
      <c r="C297" s="9"/>
      <c r="D297" s="9"/>
      <c r="E297" s="9"/>
      <c r="F297" s="9"/>
      <c r="G297" s="9"/>
      <c r="H297" s="9"/>
      <c r="I297" s="9"/>
      <c r="J297" s="9"/>
      <c r="K297" s="9"/>
      <c r="L297" s="9"/>
      <c r="M297" s="9"/>
      <c r="N297" s="9"/>
      <c r="O297" s="9"/>
      <c r="P297" s="9"/>
      <c r="Q297" s="9"/>
      <c r="R297" s="10" t="str">
        <f>IF(B297="","",COUNTIF('Part Routes'!$B:$B,B297))</f>
        <v/>
      </c>
      <c r="S297" s="10" t="str">
        <f>IF(B297="","",IF(D297="PV",COUNTIFS('Part Routes'!$B:$B,B297,'Part Routes'!$I:$I,""),IF(D297="HE",COUNTIFS('Part Routes'!$B:$B,B297,'Part Routes'!$J:$J,""),COUNTIFS('Part Routes'!$B:$B,B297,'Part Routes'!$I:$I,"")+COUNTIFS('Part Routes'!$B:$B,B297,'Part Routes'!$J:$J,""))))</f>
        <v/>
      </c>
      <c r="T297" s="10" t="str">
        <f t="shared" si="5"/>
        <v/>
      </c>
    </row>
    <row r="298" spans="1:20" x14ac:dyDescent="0.3">
      <c r="A298" s="9"/>
      <c r="B298" s="9"/>
      <c r="C298" s="9"/>
      <c r="D298" s="9"/>
      <c r="E298" s="9"/>
      <c r="F298" s="9"/>
      <c r="G298" s="9"/>
      <c r="H298" s="9"/>
      <c r="I298" s="9"/>
      <c r="J298" s="9"/>
      <c r="K298" s="9"/>
      <c r="L298" s="9"/>
      <c r="M298" s="9"/>
      <c r="N298" s="9"/>
      <c r="O298" s="9"/>
      <c r="P298" s="9"/>
      <c r="Q298" s="9"/>
      <c r="R298" s="10" t="str">
        <f>IF(B298="","",COUNTIF('Part Routes'!$B:$B,B298))</f>
        <v/>
      </c>
      <c r="S298" s="10" t="str">
        <f>IF(B298="","",IF(D298="PV",COUNTIFS('Part Routes'!$B:$B,B298,'Part Routes'!$I:$I,""),IF(D298="HE",COUNTIFS('Part Routes'!$B:$B,B298,'Part Routes'!$J:$J,""),COUNTIFS('Part Routes'!$B:$B,B298,'Part Routes'!$I:$I,"")+COUNTIFS('Part Routes'!$B:$B,B298,'Part Routes'!$J:$J,""))))</f>
        <v/>
      </c>
      <c r="T298" s="10" t="str">
        <f t="shared" si="5"/>
        <v/>
      </c>
    </row>
    <row r="299" spans="1:20" x14ac:dyDescent="0.3">
      <c r="A299" s="9"/>
      <c r="B299" s="9"/>
      <c r="C299" s="9"/>
      <c r="D299" s="9"/>
      <c r="E299" s="9"/>
      <c r="F299" s="9"/>
      <c r="G299" s="9"/>
      <c r="H299" s="9"/>
      <c r="I299" s="9"/>
      <c r="J299" s="9"/>
      <c r="K299" s="9"/>
      <c r="L299" s="9"/>
      <c r="M299" s="9"/>
      <c r="N299" s="9"/>
      <c r="O299" s="9"/>
      <c r="P299" s="9"/>
      <c r="Q299" s="9"/>
      <c r="R299" s="10" t="str">
        <f>IF(B299="","",COUNTIF('Part Routes'!$B:$B,B299))</f>
        <v/>
      </c>
      <c r="S299" s="10" t="str">
        <f>IF(B299="","",IF(D299="PV",COUNTIFS('Part Routes'!$B:$B,B299,'Part Routes'!$I:$I,""),IF(D299="HE",COUNTIFS('Part Routes'!$B:$B,B299,'Part Routes'!$J:$J,""),COUNTIFS('Part Routes'!$B:$B,B299,'Part Routes'!$I:$I,"")+COUNTIFS('Part Routes'!$B:$B,B299,'Part Routes'!$J:$J,""))))</f>
        <v/>
      </c>
      <c r="T299" s="10" t="str">
        <f t="shared" si="5"/>
        <v/>
      </c>
    </row>
    <row r="300" spans="1:20" x14ac:dyDescent="0.3">
      <c r="A300" s="9"/>
      <c r="B300" s="9"/>
      <c r="C300" s="9"/>
      <c r="D300" s="9"/>
      <c r="E300" s="9"/>
      <c r="F300" s="9"/>
      <c r="G300" s="9"/>
      <c r="H300" s="9"/>
      <c r="I300" s="9"/>
      <c r="J300" s="9"/>
      <c r="K300" s="9"/>
      <c r="L300" s="9"/>
      <c r="M300" s="9"/>
      <c r="N300" s="9"/>
      <c r="O300" s="9"/>
      <c r="P300" s="9"/>
      <c r="Q300" s="9"/>
      <c r="R300" s="10" t="str">
        <f>IF(B300="","",COUNTIF('Part Routes'!$B:$B,B300))</f>
        <v/>
      </c>
      <c r="S300" s="10" t="str">
        <f>IF(B300="","",IF(D300="PV",COUNTIFS('Part Routes'!$B:$B,B300,'Part Routes'!$I:$I,""),IF(D300="HE",COUNTIFS('Part Routes'!$B:$B,B300,'Part Routes'!$J:$J,""),COUNTIFS('Part Routes'!$B:$B,B300,'Part Routes'!$I:$I,"")+COUNTIFS('Part Routes'!$B:$B,B300,'Part Routes'!$J:$J,""))))</f>
        <v/>
      </c>
      <c r="T300" s="10" t="str">
        <f t="shared" si="5"/>
        <v/>
      </c>
    </row>
    <row r="301" spans="1:20" x14ac:dyDescent="0.3">
      <c r="A301" s="9"/>
      <c r="B301" s="9"/>
      <c r="C301" s="9"/>
      <c r="D301" s="9"/>
      <c r="E301" s="9"/>
      <c r="F301" s="9"/>
      <c r="G301" s="9"/>
      <c r="H301" s="9"/>
      <c r="I301" s="9"/>
      <c r="J301" s="9"/>
      <c r="K301" s="9"/>
      <c r="L301" s="9"/>
      <c r="M301" s="9"/>
      <c r="N301" s="9"/>
      <c r="O301" s="9"/>
      <c r="P301" s="9"/>
      <c r="Q301" s="9"/>
      <c r="R301" s="10" t="str">
        <f>IF(B301="","",COUNTIF('Part Routes'!$B:$B,B301))</f>
        <v/>
      </c>
      <c r="S301" s="10" t="str">
        <f>IF(B301="","",IF(D301="PV",COUNTIFS('Part Routes'!$B:$B,B301,'Part Routes'!$I:$I,""),IF(D301="HE",COUNTIFS('Part Routes'!$B:$B,B301,'Part Routes'!$J:$J,""),COUNTIFS('Part Routes'!$B:$B,B301,'Part Routes'!$I:$I,"")+COUNTIFS('Part Routes'!$B:$B,B301,'Part Routes'!$J:$J,""))))</f>
        <v/>
      </c>
      <c r="T301" s="10" t="str">
        <f t="shared" si="5"/>
        <v/>
      </c>
    </row>
    <row r="302" spans="1:20" x14ac:dyDescent="0.3">
      <c r="A302" s="9"/>
      <c r="B302" s="9"/>
      <c r="C302" s="9"/>
      <c r="D302" s="9"/>
      <c r="E302" s="9"/>
      <c r="F302" s="9"/>
      <c r="G302" s="9"/>
      <c r="H302" s="9"/>
      <c r="I302" s="9"/>
      <c r="J302" s="9"/>
      <c r="K302" s="9"/>
      <c r="L302" s="9"/>
      <c r="M302" s="9"/>
      <c r="N302" s="9"/>
      <c r="O302" s="9"/>
      <c r="P302" s="9"/>
      <c r="Q302" s="9"/>
      <c r="R302" s="10" t="str">
        <f>IF(B302="","",COUNTIF('Part Routes'!$B:$B,B302))</f>
        <v/>
      </c>
      <c r="S302" s="10" t="str">
        <f>IF(B302="","",IF(D302="PV",COUNTIFS('Part Routes'!$B:$B,B302,'Part Routes'!$I:$I,""),IF(D302="HE",COUNTIFS('Part Routes'!$B:$B,B302,'Part Routes'!$J:$J,""),COUNTIFS('Part Routes'!$B:$B,B302,'Part Routes'!$I:$I,"")+COUNTIFS('Part Routes'!$B:$B,B302,'Part Routes'!$J:$J,""))))</f>
        <v/>
      </c>
      <c r="T302" s="10" t="str">
        <f t="shared" si="5"/>
        <v/>
      </c>
    </row>
    <row r="303" spans="1:20" x14ac:dyDescent="0.3">
      <c r="A303" s="9"/>
      <c r="B303" s="9"/>
      <c r="C303" s="9"/>
      <c r="D303" s="9"/>
      <c r="E303" s="9"/>
      <c r="F303" s="9"/>
      <c r="G303" s="9"/>
      <c r="H303" s="9"/>
      <c r="I303" s="9"/>
      <c r="J303" s="9"/>
      <c r="K303" s="9"/>
      <c r="L303" s="9"/>
      <c r="M303" s="9"/>
      <c r="N303" s="9"/>
      <c r="O303" s="9"/>
      <c r="P303" s="9"/>
      <c r="Q303" s="9"/>
      <c r="R303" s="10" t="str">
        <f>IF(B303="","",COUNTIF('Part Routes'!$B:$B,B303))</f>
        <v/>
      </c>
      <c r="S303" s="10" t="str">
        <f>IF(B303="","",IF(D303="PV",COUNTIFS('Part Routes'!$B:$B,B303,'Part Routes'!$I:$I,""),IF(D303="HE",COUNTIFS('Part Routes'!$B:$B,B303,'Part Routes'!$J:$J,""),COUNTIFS('Part Routes'!$B:$B,B303,'Part Routes'!$I:$I,"")+COUNTIFS('Part Routes'!$B:$B,B303,'Part Routes'!$J:$J,""))))</f>
        <v/>
      </c>
      <c r="T303" s="10" t="str">
        <f t="shared" si="5"/>
        <v/>
      </c>
    </row>
    <row r="304" spans="1:20" x14ac:dyDescent="0.3">
      <c r="A304" s="9"/>
      <c r="B304" s="9"/>
      <c r="C304" s="9"/>
      <c r="D304" s="9"/>
      <c r="E304" s="9"/>
      <c r="F304" s="9"/>
      <c r="G304" s="9"/>
      <c r="H304" s="9"/>
      <c r="I304" s="9"/>
      <c r="J304" s="9"/>
      <c r="K304" s="9"/>
      <c r="L304" s="9"/>
      <c r="M304" s="9"/>
      <c r="N304" s="9"/>
      <c r="O304" s="9"/>
      <c r="P304" s="9"/>
      <c r="Q304" s="9"/>
      <c r="R304" s="10" t="str">
        <f>IF(B304="","",COUNTIF('Part Routes'!$B:$B,B304))</f>
        <v/>
      </c>
      <c r="S304" s="10" t="str">
        <f>IF(B304="","",IF(D304="PV",COUNTIFS('Part Routes'!$B:$B,B304,'Part Routes'!$I:$I,""),IF(D304="HE",COUNTIFS('Part Routes'!$B:$B,B304,'Part Routes'!$J:$J,""),COUNTIFS('Part Routes'!$B:$B,B304,'Part Routes'!$I:$I,"")+COUNTIFS('Part Routes'!$B:$B,B304,'Part Routes'!$J:$J,""))))</f>
        <v/>
      </c>
      <c r="T304" s="10" t="str">
        <f t="shared" si="5"/>
        <v/>
      </c>
    </row>
    <row r="305" spans="1:20" x14ac:dyDescent="0.3">
      <c r="A305" s="9"/>
      <c r="B305" s="9"/>
      <c r="C305" s="9"/>
      <c r="D305" s="9"/>
      <c r="E305" s="9"/>
      <c r="F305" s="9"/>
      <c r="G305" s="9"/>
      <c r="H305" s="9"/>
      <c r="I305" s="9"/>
      <c r="J305" s="9"/>
      <c r="K305" s="9"/>
      <c r="L305" s="9"/>
      <c r="M305" s="9"/>
      <c r="N305" s="9"/>
      <c r="O305" s="9"/>
      <c r="P305" s="9"/>
      <c r="Q305" s="9"/>
      <c r="R305" s="10" t="str">
        <f>IF(B305="","",COUNTIF('Part Routes'!$B:$B,B305))</f>
        <v/>
      </c>
      <c r="S305" s="10" t="str">
        <f>IF(B305="","",IF(D305="PV",COUNTIFS('Part Routes'!$B:$B,B305,'Part Routes'!$I:$I,""),IF(D305="HE",COUNTIFS('Part Routes'!$B:$B,B305,'Part Routes'!$J:$J,""),COUNTIFS('Part Routes'!$B:$B,B305,'Part Routes'!$I:$I,"")+COUNTIFS('Part Routes'!$B:$B,B305,'Part Routes'!$J:$J,""))))</f>
        <v/>
      </c>
      <c r="T305" s="10" t="str">
        <f t="shared" si="5"/>
        <v/>
      </c>
    </row>
    <row r="306" spans="1:20" x14ac:dyDescent="0.3">
      <c r="A306" s="9"/>
      <c r="B306" s="9"/>
      <c r="C306" s="9"/>
      <c r="D306" s="9"/>
      <c r="E306" s="9"/>
      <c r="F306" s="9"/>
      <c r="G306" s="9"/>
      <c r="H306" s="9"/>
      <c r="I306" s="9"/>
      <c r="J306" s="9"/>
      <c r="K306" s="9"/>
      <c r="L306" s="9"/>
      <c r="M306" s="9"/>
      <c r="N306" s="9"/>
      <c r="O306" s="9"/>
      <c r="P306" s="9"/>
      <c r="Q306" s="9"/>
      <c r="R306" s="10" t="str">
        <f>IF(B306="","",COUNTIF('Part Routes'!$B:$B,B306))</f>
        <v/>
      </c>
      <c r="S306" s="10" t="str">
        <f>IF(B306="","",IF(D306="PV",COUNTIFS('Part Routes'!$B:$B,B306,'Part Routes'!$I:$I,""),IF(D306="HE",COUNTIFS('Part Routes'!$B:$B,B306,'Part Routes'!$J:$J,""),COUNTIFS('Part Routes'!$B:$B,B306,'Part Routes'!$I:$I,"")+COUNTIFS('Part Routes'!$B:$B,B306,'Part Routes'!$J:$J,""))))</f>
        <v/>
      </c>
      <c r="T306" s="10" t="str">
        <f t="shared" si="5"/>
        <v/>
      </c>
    </row>
    <row r="307" spans="1:20" x14ac:dyDescent="0.3">
      <c r="A307" s="9"/>
      <c r="B307" s="9"/>
      <c r="C307" s="9"/>
      <c r="D307" s="9"/>
      <c r="E307" s="9"/>
      <c r="F307" s="9"/>
      <c r="G307" s="9"/>
      <c r="H307" s="9"/>
      <c r="I307" s="9"/>
      <c r="J307" s="9"/>
      <c r="K307" s="9"/>
      <c r="L307" s="9"/>
      <c r="M307" s="9"/>
      <c r="N307" s="9"/>
      <c r="O307" s="9"/>
      <c r="P307" s="9"/>
      <c r="Q307" s="9"/>
      <c r="R307" s="10" t="str">
        <f>IF(B307="","",COUNTIF('Part Routes'!$B:$B,B307))</f>
        <v/>
      </c>
      <c r="S307" s="10" t="str">
        <f>IF(B307="","",IF(D307="PV",COUNTIFS('Part Routes'!$B:$B,B307,'Part Routes'!$I:$I,""),IF(D307="HE",COUNTIFS('Part Routes'!$B:$B,B307,'Part Routes'!$J:$J,""),COUNTIFS('Part Routes'!$B:$B,B307,'Part Routes'!$I:$I,"")+COUNTIFS('Part Routes'!$B:$B,B307,'Part Routes'!$J:$J,""))))</f>
        <v/>
      </c>
      <c r="T307" s="10" t="str">
        <f t="shared" si="5"/>
        <v/>
      </c>
    </row>
    <row r="308" spans="1:20" x14ac:dyDescent="0.3">
      <c r="A308" s="9"/>
      <c r="B308" s="9"/>
      <c r="C308" s="9"/>
      <c r="D308" s="9"/>
      <c r="E308" s="9"/>
      <c r="F308" s="9"/>
      <c r="G308" s="9"/>
      <c r="H308" s="9"/>
      <c r="I308" s="9"/>
      <c r="J308" s="9"/>
      <c r="K308" s="9"/>
      <c r="L308" s="9"/>
      <c r="M308" s="9"/>
      <c r="N308" s="9"/>
      <c r="O308" s="9"/>
      <c r="P308" s="9"/>
      <c r="Q308" s="9"/>
      <c r="R308" s="10" t="str">
        <f>IF(B308="","",COUNTIF('Part Routes'!$B:$B,B308))</f>
        <v/>
      </c>
      <c r="S308" s="10" t="str">
        <f>IF(B308="","",IF(D308="PV",COUNTIFS('Part Routes'!$B:$B,B308,'Part Routes'!$I:$I,""),IF(D308="HE",COUNTIFS('Part Routes'!$B:$B,B308,'Part Routes'!$J:$J,""),COUNTIFS('Part Routes'!$B:$B,B308,'Part Routes'!$I:$I,"")+COUNTIFS('Part Routes'!$B:$B,B308,'Part Routes'!$J:$J,""))))</f>
        <v/>
      </c>
      <c r="T308" s="10" t="str">
        <f t="shared" si="5"/>
        <v/>
      </c>
    </row>
    <row r="309" spans="1:20" x14ac:dyDescent="0.3">
      <c r="A309" s="9"/>
      <c r="B309" s="9"/>
      <c r="C309" s="9"/>
      <c r="D309" s="9"/>
      <c r="E309" s="9"/>
      <c r="F309" s="9"/>
      <c r="G309" s="9"/>
      <c r="H309" s="9"/>
      <c r="I309" s="9"/>
      <c r="J309" s="9"/>
      <c r="K309" s="9"/>
      <c r="L309" s="9"/>
      <c r="M309" s="9"/>
      <c r="N309" s="9"/>
      <c r="O309" s="9"/>
      <c r="P309" s="9"/>
      <c r="Q309" s="9"/>
      <c r="R309" s="10" t="str">
        <f>IF(B309="","",COUNTIF('Part Routes'!$B:$B,B309))</f>
        <v/>
      </c>
      <c r="S309" s="10" t="str">
        <f>IF(B309="","",IF(D309="PV",COUNTIFS('Part Routes'!$B:$B,B309,'Part Routes'!$I:$I,""),IF(D309="HE",COUNTIFS('Part Routes'!$B:$B,B309,'Part Routes'!$J:$J,""),COUNTIFS('Part Routes'!$B:$B,B309,'Part Routes'!$I:$I,"")+COUNTIFS('Part Routes'!$B:$B,B309,'Part Routes'!$J:$J,""))))</f>
        <v/>
      </c>
      <c r="T309" s="10" t="str">
        <f t="shared" si="5"/>
        <v/>
      </c>
    </row>
  </sheetData>
  <autoFilter ref="A4:T309" xr:uid="{00000000-0009-0000-0000-000001000000}"/>
  <mergeCells count="2">
    <mergeCell ref="A1:T1"/>
    <mergeCell ref="A2:T2"/>
  </mergeCell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8">
        <x14:dataValidation type="list" allowBlank="1" showErrorMessage="1" errorTitle="Pick from list" error="Choose a value from the 'Equipment' list. For a new operation use the 'New Operations' sheet." xr:uid="{00000000-0002-0000-0100-000000000000}">
          <x14:formula1>
            <xm:f>Lists!$C$2:$C$4</xm:f>
          </x14:formula1>
          <x14:formula2>
            <xm:f>0</xm:f>
          </x14:formula2>
          <xm:sqref>D5:D309</xm:sqref>
        </x14:dataValidation>
        <x14:dataValidation type="list" allowBlank="1" showErrorMessage="1" errorTitle="Pick from list" error="Choose a value from the 'Assembly Groups' list. For a new operation use the 'New Operations' sheet." xr:uid="{00000000-0002-0000-0100-000001000000}">
          <x14:formula1>
            <xm:f>Lists!$D$2:$D$16</xm:f>
          </x14:formula1>
          <x14:formula2>
            <xm:f>0</xm:f>
          </x14:formula2>
          <xm:sqref>E5:E309</xm:sqref>
        </x14:dataValidation>
        <x14:dataValidation type="list" allowBlank="1" showErrorMessage="1" errorTitle="Pick from list" error="Choose a value from the 'Make / Buy' list. For a new operation use the 'New Operations' sheet." xr:uid="{00000000-0002-0000-0100-000002000000}">
          <x14:formula1>
            <xm:f>Lists!$E$2:$E$6</xm:f>
          </x14:formula1>
          <x14:formula2>
            <xm:f>0</xm:f>
          </x14:formula2>
          <xm:sqref>F5:F309</xm:sqref>
        </x14:dataValidation>
        <x14:dataValidation type="list" allowBlank="1" showErrorMessage="1" errorTitle="Pick from list" error="Choose a value from the 'Raw Material Form' list. For a new operation use the 'New Operations' sheet." xr:uid="{00000000-0002-0000-0100-000003000000}">
          <x14:formula1>
            <xm:f>Lists!$F$2:$F$9</xm:f>
          </x14:formula1>
          <x14:formula2>
            <xm:f>0</xm:f>
          </x14:formula2>
          <xm:sqref>G5:G309</xm:sqref>
        </x14:dataValidation>
        <x14:dataValidation type="list" allowBlank="1" showErrorMessage="1" errorTitle="Pick from list" error="Choose a value from the 'Weight Basis' list. For a new operation use the 'New Operations' sheet." xr:uid="{00000000-0002-0000-0100-000004000000}">
          <x14:formula1>
            <xm:f>Lists!$G$2:$G$10</xm:f>
          </x14:formula1>
          <x14:formula2>
            <xm:f>0</xm:f>
          </x14:formula2>
          <xm:sqref>J5:J309</xm:sqref>
        </x14:dataValidation>
        <x14:dataValidation type="list" allowBlank="1" showErrorMessage="1" errorTitle="Pick from list" error="Choose a value from the 'Yes / No' list. For a new operation use the 'New Operations' sheet." xr:uid="{00000000-0002-0000-0100-000005000000}">
          <x14:formula1>
            <xm:f>Lists!$H$2:$H$3</xm:f>
          </x14:formula1>
          <x14:formula2>
            <xm:f>0</xm:f>
          </x14:formula2>
          <xm:sqref>L5:L309</xm:sqref>
        </x14:dataValidation>
        <x14:dataValidation type="list" allowBlank="1" showErrorMessage="1" errorTitle="Pick from list" error="Choose a value from the 'Route Source' list. For a new operation use the 'New Operations' sheet." xr:uid="{00000000-0002-0000-0100-000006000000}">
          <x14:formula1>
            <xm:f>Lists!$N$2:$N$5</xm:f>
          </x14:formula1>
          <x14:formula2>
            <xm:f>0</xm:f>
          </x14:formula2>
          <xm:sqref>M5:M309</xm:sqref>
        </x14:dataValidation>
        <x14:dataValidation type="list" allowBlank="1" showErrorMessage="1" errorTitle="Pick from list" error="Choose a value from the 'Status' list. For a new operation use the 'New Operations' sheet." xr:uid="{00000000-0002-0000-0100-000007000000}">
          <x14:formula1>
            <xm:f>Lists!$M$2:$M$4</xm:f>
          </x14:formula1>
          <x14:formula2>
            <xm:f>0</xm:f>
          </x14:formula2>
          <xm:sqref>P5:P309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336"/>
  <sheetViews>
    <sheetView zoomScale="90" zoomScaleNormal="90" workbookViewId="0">
      <pane xSplit="2" ySplit="4" topLeftCell="J5" activePane="bottomRight" state="frozen"/>
      <selection pane="topRight" activeCell="C1" sqref="C1"/>
      <selection pane="bottomLeft" activeCell="A5" sqref="A5"/>
      <selection pane="bottomRight" activeCell="A13" sqref="A13:C32"/>
    </sheetView>
  </sheetViews>
  <sheetFormatPr defaultColWidth="8.6640625" defaultRowHeight="14.4" x14ac:dyDescent="0.3"/>
  <cols>
    <col min="1" max="1" width="11.77734375" bestFit="1" customWidth="1"/>
    <col min="2" max="2" width="13.33203125" bestFit="1" customWidth="1"/>
    <col min="3" max="3" width="18.5546875" bestFit="1" customWidth="1"/>
    <col min="4" max="4" width="10.44140625" bestFit="1" customWidth="1"/>
    <col min="5" max="5" width="7.21875" bestFit="1" customWidth="1"/>
    <col min="6" max="6" width="24.88671875" bestFit="1" customWidth="1"/>
    <col min="7" max="7" width="46.33203125" customWidth="1"/>
    <col min="8" max="8" width="21.109375" bestFit="1" customWidth="1"/>
    <col min="9" max="9" width="16.44140625" bestFit="1" customWidth="1"/>
    <col min="10" max="10" width="16.5546875" bestFit="1" customWidth="1"/>
    <col min="11" max="12" width="8.109375" bestFit="1" customWidth="1"/>
    <col min="13" max="13" width="14.109375" bestFit="1" customWidth="1"/>
    <col min="14" max="14" width="11.6640625" bestFit="1" customWidth="1"/>
    <col min="15" max="18" width="40.77734375" customWidth="1"/>
  </cols>
  <sheetData>
    <row r="1" spans="1:18" ht="14.4" customHeight="1" x14ac:dyDescent="0.3">
      <c r="A1" s="47" t="s">
        <v>2189</v>
      </c>
      <c r="B1" s="47"/>
      <c r="C1" s="47"/>
      <c r="D1" s="47"/>
      <c r="E1" s="47"/>
      <c r="F1" s="47"/>
      <c r="G1" s="47"/>
      <c r="H1" s="47"/>
      <c r="I1" s="47"/>
      <c r="J1" s="47"/>
      <c r="K1" s="47"/>
      <c r="L1" s="47"/>
      <c r="M1" s="47"/>
      <c r="N1" s="47"/>
      <c r="O1" s="47"/>
      <c r="P1" s="47"/>
      <c r="Q1" s="47"/>
      <c r="R1" s="47"/>
    </row>
    <row r="2" spans="1:18" x14ac:dyDescent="0.3">
      <c r="A2" s="48" t="s">
        <v>105</v>
      </c>
      <c r="B2" s="48"/>
      <c r="C2" s="48"/>
      <c r="D2" s="48"/>
      <c r="E2" s="48"/>
      <c r="F2" s="48"/>
      <c r="G2" s="48"/>
      <c r="H2" s="48"/>
      <c r="I2" s="48"/>
      <c r="J2" s="48"/>
      <c r="K2" s="48"/>
      <c r="L2" s="48"/>
      <c r="M2" s="48"/>
      <c r="N2" s="48"/>
      <c r="O2" s="48"/>
      <c r="P2" s="48"/>
      <c r="Q2" s="48"/>
      <c r="R2" s="48"/>
    </row>
    <row r="4" spans="1:18" ht="27.6" x14ac:dyDescent="0.3">
      <c r="A4" s="82" t="s">
        <v>53</v>
      </c>
      <c r="B4" s="82" t="s">
        <v>54</v>
      </c>
      <c r="C4" s="82" t="s">
        <v>106</v>
      </c>
      <c r="D4" s="82" t="s">
        <v>107</v>
      </c>
      <c r="E4" s="82" t="s">
        <v>108</v>
      </c>
      <c r="F4" s="82" t="s">
        <v>109</v>
      </c>
      <c r="G4" s="82" t="s">
        <v>110</v>
      </c>
      <c r="H4" s="82" t="s">
        <v>111</v>
      </c>
      <c r="I4" s="82" t="s">
        <v>112</v>
      </c>
      <c r="J4" s="82" t="s">
        <v>113</v>
      </c>
      <c r="K4" s="82" t="s">
        <v>114</v>
      </c>
      <c r="L4" s="82" t="s">
        <v>115</v>
      </c>
      <c r="M4" s="82" t="s">
        <v>116</v>
      </c>
      <c r="N4" s="82" t="s">
        <v>117</v>
      </c>
      <c r="O4" s="82" t="s">
        <v>118</v>
      </c>
      <c r="P4" s="82" t="s">
        <v>119</v>
      </c>
      <c r="Q4" s="82" t="s">
        <v>120</v>
      </c>
      <c r="R4" s="82" t="s">
        <v>69</v>
      </c>
    </row>
    <row r="5" spans="1:18" ht="43.2" x14ac:dyDescent="0.3">
      <c r="A5" s="65" t="s">
        <v>383</v>
      </c>
      <c r="B5" s="64" t="s">
        <v>73</v>
      </c>
      <c r="C5" s="64" t="str">
        <f>IF(B5="","",IFERROR(INDEX('Parts Master'!$C:$C,MATCH(B5,'Parts Master'!$B:$B,0)),"Part Code not in Parts Master"))</f>
        <v>Shell Course</v>
      </c>
      <c r="D5" s="64" t="s">
        <v>79</v>
      </c>
      <c r="E5" s="64">
        <v>10</v>
      </c>
      <c r="F5" s="64" t="s">
        <v>121</v>
      </c>
      <c r="G5" s="64" t="s">
        <v>398</v>
      </c>
      <c r="H5" s="64" t="s">
        <v>122</v>
      </c>
      <c r="I5" s="67">
        <v>10</v>
      </c>
      <c r="J5" s="67">
        <v>11</v>
      </c>
      <c r="K5" s="83">
        <v>0.5</v>
      </c>
      <c r="L5" s="66" t="s">
        <v>342</v>
      </c>
      <c r="M5" s="66" t="s">
        <v>1182</v>
      </c>
      <c r="N5" s="64" t="s">
        <v>80</v>
      </c>
      <c r="O5" s="64"/>
      <c r="P5" s="64" t="s">
        <v>1183</v>
      </c>
      <c r="Q5" s="64" t="s">
        <v>1184</v>
      </c>
      <c r="R5" s="64" t="s">
        <v>1185</v>
      </c>
    </row>
    <row r="6" spans="1:18" ht="43.2" x14ac:dyDescent="0.3">
      <c r="A6" s="65" t="s">
        <v>383</v>
      </c>
      <c r="B6" s="64" t="s">
        <v>73</v>
      </c>
      <c r="C6" s="64" t="str">
        <f>IF(B6="","",IFERROR(INDEX('Parts Master'!$C:$C,MATCH(B6,'Parts Master'!$B:$B,0)),"Part Code not in Parts Master"))</f>
        <v>Shell Course</v>
      </c>
      <c r="D6" s="64" t="s">
        <v>79</v>
      </c>
      <c r="E6" s="64">
        <v>20</v>
      </c>
      <c r="F6" s="64" t="s">
        <v>123</v>
      </c>
      <c r="G6" s="64" t="s">
        <v>399</v>
      </c>
      <c r="H6" s="64" t="s">
        <v>124</v>
      </c>
      <c r="I6" s="67">
        <v>11</v>
      </c>
      <c r="J6" s="67">
        <v>12</v>
      </c>
      <c r="K6" s="83">
        <v>0.75</v>
      </c>
      <c r="L6" s="66" t="s">
        <v>342</v>
      </c>
      <c r="M6" s="66" t="s">
        <v>1182</v>
      </c>
      <c r="N6" s="64" t="s">
        <v>80</v>
      </c>
      <c r="O6" s="64"/>
      <c r="P6" s="64" t="s">
        <v>1186</v>
      </c>
      <c r="Q6" s="64" t="s">
        <v>1187</v>
      </c>
      <c r="R6" s="64" t="s">
        <v>1185</v>
      </c>
    </row>
    <row r="7" spans="1:18" ht="43.2" x14ac:dyDescent="0.3">
      <c r="A7" s="65" t="s">
        <v>383</v>
      </c>
      <c r="B7" s="64" t="s">
        <v>73</v>
      </c>
      <c r="C7" s="64" t="str">
        <f>IF(B7="","",IFERROR(INDEX('Parts Master'!$C:$C,MATCH(B7,'Parts Master'!$B:$B,0)),"Part Code not in Parts Master"))</f>
        <v>Shell Course</v>
      </c>
      <c r="D7" s="64" t="s">
        <v>79</v>
      </c>
      <c r="E7" s="64">
        <v>30</v>
      </c>
      <c r="F7" s="64" t="s">
        <v>125</v>
      </c>
      <c r="G7" s="64" t="s">
        <v>126</v>
      </c>
      <c r="H7" s="64" t="s">
        <v>127</v>
      </c>
      <c r="I7" s="67">
        <v>12</v>
      </c>
      <c r="J7" s="67">
        <v>13</v>
      </c>
      <c r="K7" s="83">
        <v>0.3</v>
      </c>
      <c r="L7" s="66" t="s">
        <v>342</v>
      </c>
      <c r="M7" s="66" t="s">
        <v>1188</v>
      </c>
      <c r="N7" s="64" t="s">
        <v>80</v>
      </c>
      <c r="O7" s="64"/>
      <c r="P7" s="64" t="s">
        <v>1189</v>
      </c>
      <c r="Q7" s="64" t="s">
        <v>1190</v>
      </c>
      <c r="R7" s="64" t="s">
        <v>1185</v>
      </c>
    </row>
    <row r="8" spans="1:18" ht="43.2" x14ac:dyDescent="0.3">
      <c r="A8" s="65" t="s">
        <v>383</v>
      </c>
      <c r="B8" s="64" t="s">
        <v>73</v>
      </c>
      <c r="C8" s="64" t="str">
        <f>IF(B8="","",IFERROR(INDEX('Parts Master'!$C:$C,MATCH(B8,'Parts Master'!$B:$B,0)),"Part Code not in Parts Master"))</f>
        <v>Shell Course</v>
      </c>
      <c r="D8" s="64" t="s">
        <v>79</v>
      </c>
      <c r="E8" s="64">
        <v>40</v>
      </c>
      <c r="F8" s="64" t="s">
        <v>128</v>
      </c>
      <c r="G8" s="64" t="s">
        <v>400</v>
      </c>
      <c r="H8" s="64" t="s">
        <v>127</v>
      </c>
      <c r="I8" s="67">
        <v>12</v>
      </c>
      <c r="J8" s="67">
        <v>13</v>
      </c>
      <c r="K8" s="83">
        <v>0.35</v>
      </c>
      <c r="L8" s="66" t="s">
        <v>342</v>
      </c>
      <c r="M8" s="66" t="s">
        <v>1191</v>
      </c>
      <c r="N8" s="64" t="s">
        <v>80</v>
      </c>
      <c r="O8" s="64"/>
      <c r="P8" s="64" t="s">
        <v>1192</v>
      </c>
      <c r="Q8" s="64" t="s">
        <v>1193</v>
      </c>
      <c r="R8" s="64" t="s">
        <v>1185</v>
      </c>
    </row>
    <row r="9" spans="1:18" ht="43.2" x14ac:dyDescent="0.3">
      <c r="A9" s="65" t="s">
        <v>383</v>
      </c>
      <c r="B9" s="64" t="s">
        <v>73</v>
      </c>
      <c r="C9" s="64" t="str">
        <f>IF(B9="","",IFERROR(INDEX('Parts Master'!$C:$C,MATCH(B9,'Parts Master'!$B:$B,0)),"Part Code not in Parts Master"))</f>
        <v>Shell Course</v>
      </c>
      <c r="D9" s="64" t="s">
        <v>79</v>
      </c>
      <c r="E9" s="64">
        <v>50</v>
      </c>
      <c r="F9" s="64" t="s">
        <v>129</v>
      </c>
      <c r="G9" s="64" t="s">
        <v>401</v>
      </c>
      <c r="H9" s="64" t="s">
        <v>127</v>
      </c>
      <c r="I9" s="67">
        <v>13</v>
      </c>
      <c r="J9" s="67">
        <v>14</v>
      </c>
      <c r="K9" s="83">
        <v>4</v>
      </c>
      <c r="L9" s="66" t="s">
        <v>342</v>
      </c>
      <c r="M9" s="66" t="s">
        <v>343</v>
      </c>
      <c r="N9" s="64" t="s">
        <v>80</v>
      </c>
      <c r="O9" s="64"/>
      <c r="P9" s="64" t="s">
        <v>1194</v>
      </c>
      <c r="Q9" s="64" t="s">
        <v>1195</v>
      </c>
      <c r="R9" s="64" t="s">
        <v>1185</v>
      </c>
    </row>
    <row r="10" spans="1:18" ht="43.2" x14ac:dyDescent="0.3">
      <c r="A10" s="65" t="s">
        <v>383</v>
      </c>
      <c r="B10" s="64" t="s">
        <v>73</v>
      </c>
      <c r="C10" s="64" t="str">
        <f>IF(B10="","",IFERROR(INDEX('Parts Master'!$C:$C,MATCH(B10,'Parts Master'!$B:$B,0)),"Part Code not in Parts Master"))</f>
        <v>Shell Course</v>
      </c>
      <c r="D10" s="64" t="s">
        <v>79</v>
      </c>
      <c r="E10" s="64">
        <v>60</v>
      </c>
      <c r="F10" s="64" t="s">
        <v>130</v>
      </c>
      <c r="G10" s="64" t="s">
        <v>402</v>
      </c>
      <c r="H10" s="64" t="s">
        <v>131</v>
      </c>
      <c r="I10" s="67">
        <v>19</v>
      </c>
      <c r="J10" s="67">
        <v>14</v>
      </c>
      <c r="K10" s="83">
        <v>1.5</v>
      </c>
      <c r="L10" s="66" t="s">
        <v>342</v>
      </c>
      <c r="M10" s="66" t="s">
        <v>357</v>
      </c>
      <c r="N10" s="64" t="s">
        <v>80</v>
      </c>
      <c r="O10" s="64"/>
      <c r="P10" s="64" t="s">
        <v>1196</v>
      </c>
      <c r="Q10" s="64" t="s">
        <v>132</v>
      </c>
      <c r="R10" s="64" t="s">
        <v>1185</v>
      </c>
    </row>
    <row r="11" spans="1:18" ht="43.2" x14ac:dyDescent="0.3">
      <c r="A11" s="65" t="s">
        <v>383</v>
      </c>
      <c r="B11" s="64" t="s">
        <v>73</v>
      </c>
      <c r="C11" s="64" t="str">
        <f>IF(B11="","",IFERROR(INDEX('Parts Master'!$C:$C,MATCH(B11,'Parts Master'!$B:$B,0)),"Part Code not in Parts Master"))</f>
        <v>Shell Course</v>
      </c>
      <c r="D11" s="64" t="s">
        <v>79</v>
      </c>
      <c r="E11" s="64">
        <v>70</v>
      </c>
      <c r="F11" s="64" t="s">
        <v>133</v>
      </c>
      <c r="G11" s="64" t="s">
        <v>403</v>
      </c>
      <c r="H11" s="64" t="s">
        <v>131</v>
      </c>
      <c r="I11" s="67">
        <v>20</v>
      </c>
      <c r="J11" s="67">
        <v>15</v>
      </c>
      <c r="K11" s="83">
        <v>1.2</v>
      </c>
      <c r="L11" s="66" t="s">
        <v>342</v>
      </c>
      <c r="M11" s="66" t="s">
        <v>351</v>
      </c>
      <c r="N11" s="64" t="s">
        <v>80</v>
      </c>
      <c r="O11" s="64"/>
      <c r="P11" s="64" t="s">
        <v>1197</v>
      </c>
      <c r="Q11" s="64" t="s">
        <v>1198</v>
      </c>
      <c r="R11" s="64" t="s">
        <v>1185</v>
      </c>
    </row>
    <row r="12" spans="1:18" ht="43.2" x14ac:dyDescent="0.3">
      <c r="A12" s="65" t="s">
        <v>383</v>
      </c>
      <c r="B12" s="64" t="s">
        <v>73</v>
      </c>
      <c r="C12" s="64" t="str">
        <f>IF(B12="","",IFERROR(INDEX('Parts Master'!$C:$C,MATCH(B12,'Parts Master'!$B:$B,0)),"Part Code not in Parts Master"))</f>
        <v>Shell Course</v>
      </c>
      <c r="D12" s="64" t="s">
        <v>79</v>
      </c>
      <c r="E12" s="64">
        <v>80</v>
      </c>
      <c r="F12" s="64" t="s">
        <v>134</v>
      </c>
      <c r="G12" s="64" t="s">
        <v>405</v>
      </c>
      <c r="H12" s="64" t="s">
        <v>124</v>
      </c>
      <c r="I12" s="67">
        <v>17</v>
      </c>
      <c r="J12" s="67">
        <v>16</v>
      </c>
      <c r="K12" s="83">
        <v>1</v>
      </c>
      <c r="L12" s="66" t="s">
        <v>342</v>
      </c>
      <c r="M12" s="66" t="s">
        <v>357</v>
      </c>
      <c r="N12" s="64" t="s">
        <v>104</v>
      </c>
      <c r="O12" s="64" t="s">
        <v>406</v>
      </c>
      <c r="P12" s="64" t="s">
        <v>1199</v>
      </c>
      <c r="Q12" s="64" t="s">
        <v>407</v>
      </c>
      <c r="R12" s="64" t="s">
        <v>1185</v>
      </c>
    </row>
    <row r="13" spans="1:18" ht="43.2" x14ac:dyDescent="0.3">
      <c r="A13" s="65" t="s">
        <v>383</v>
      </c>
      <c r="B13" s="64" t="s">
        <v>73</v>
      </c>
      <c r="C13" s="64" t="str">
        <f>IF(B13="","",IFERROR(INDEX('Parts Master'!$C:$C,MATCH(B13,'Parts Master'!$B:$B,0)),"Part Code not in Parts Master"))</f>
        <v>Shell Course</v>
      </c>
      <c r="D13" s="64" t="s">
        <v>79</v>
      </c>
      <c r="E13" s="64">
        <v>90</v>
      </c>
      <c r="F13" s="64" t="s">
        <v>135</v>
      </c>
      <c r="G13" s="64" t="s">
        <v>408</v>
      </c>
      <c r="H13" s="64" t="s">
        <v>124</v>
      </c>
      <c r="I13" s="67">
        <v>21</v>
      </c>
      <c r="J13" s="67">
        <v>16</v>
      </c>
      <c r="K13" s="83">
        <v>0.75</v>
      </c>
      <c r="L13" s="66" t="s">
        <v>342</v>
      </c>
      <c r="M13" s="66" t="s">
        <v>343</v>
      </c>
      <c r="N13" s="64" t="s">
        <v>80</v>
      </c>
      <c r="O13" s="64"/>
      <c r="P13" s="64" t="s">
        <v>1200</v>
      </c>
      <c r="Q13" s="64" t="s">
        <v>1201</v>
      </c>
      <c r="R13" s="64" t="s">
        <v>1185</v>
      </c>
    </row>
    <row r="14" spans="1:18" ht="43.2" x14ac:dyDescent="0.3">
      <c r="A14" s="65" t="s">
        <v>383</v>
      </c>
      <c r="B14" s="64" t="s">
        <v>385</v>
      </c>
      <c r="C14" s="64" t="str">
        <f>IF(B14="","",IFERROR(INDEX('Parts Master'!$C:$C,MATCH(B14,'Parts Master'!$B:$B,0)),"Part Code not in Parts Master"))</f>
        <v>Dished End</v>
      </c>
      <c r="D14" s="64" t="s">
        <v>79</v>
      </c>
      <c r="E14" s="64">
        <v>10</v>
      </c>
      <c r="F14" s="64" t="s">
        <v>121</v>
      </c>
      <c r="G14" s="64" t="s">
        <v>409</v>
      </c>
      <c r="H14" s="64" t="s">
        <v>122</v>
      </c>
      <c r="I14" s="67">
        <v>10</v>
      </c>
      <c r="J14" s="67">
        <v>11</v>
      </c>
      <c r="K14" s="83">
        <v>0.5</v>
      </c>
      <c r="L14" s="66" t="s">
        <v>342</v>
      </c>
      <c r="M14" s="66" t="s">
        <v>1182</v>
      </c>
      <c r="N14" s="64" t="s">
        <v>80</v>
      </c>
      <c r="O14" s="64"/>
      <c r="P14" s="64" t="s">
        <v>1183</v>
      </c>
      <c r="Q14" s="64" t="s">
        <v>1184</v>
      </c>
      <c r="R14" s="64" t="s">
        <v>1185</v>
      </c>
    </row>
    <row r="15" spans="1:18" ht="43.2" x14ac:dyDescent="0.3">
      <c r="A15" s="65" t="s">
        <v>383</v>
      </c>
      <c r="B15" s="64" t="s">
        <v>385</v>
      </c>
      <c r="C15" s="64" t="str">
        <f>IF(B15="","",IFERROR(INDEX('Parts Master'!$C:$C,MATCH(B15,'Parts Master'!$B:$B,0)),"Part Code not in Parts Master"))</f>
        <v>Dished End</v>
      </c>
      <c r="D15" s="64" t="s">
        <v>79</v>
      </c>
      <c r="E15" s="64">
        <v>20</v>
      </c>
      <c r="F15" s="64" t="s">
        <v>123</v>
      </c>
      <c r="G15" s="64" t="s">
        <v>410</v>
      </c>
      <c r="H15" s="64" t="s">
        <v>124</v>
      </c>
      <c r="I15" s="67">
        <v>11</v>
      </c>
      <c r="J15" s="67">
        <v>12</v>
      </c>
      <c r="K15" s="83">
        <v>0.75</v>
      </c>
      <c r="L15" s="66" t="s">
        <v>342</v>
      </c>
      <c r="M15" s="66" t="s">
        <v>1182</v>
      </c>
      <c r="N15" s="64" t="s">
        <v>80</v>
      </c>
      <c r="O15" s="64"/>
      <c r="P15" s="64" t="s">
        <v>1186</v>
      </c>
      <c r="Q15" s="64" t="s">
        <v>1187</v>
      </c>
      <c r="R15" s="64" t="s">
        <v>1185</v>
      </c>
    </row>
    <row r="16" spans="1:18" ht="43.2" x14ac:dyDescent="0.3">
      <c r="A16" s="65" t="s">
        <v>383</v>
      </c>
      <c r="B16" s="64" t="s">
        <v>385</v>
      </c>
      <c r="C16" s="64" t="str">
        <f>IF(B16="","",IFERROR(INDEX('Parts Master'!$C:$C,MATCH(B16,'Parts Master'!$B:$B,0)),"Part Code not in Parts Master"))</f>
        <v>Dished End</v>
      </c>
      <c r="D16" s="64" t="s">
        <v>79</v>
      </c>
      <c r="E16" s="64">
        <v>30</v>
      </c>
      <c r="F16" s="64" t="s">
        <v>125</v>
      </c>
      <c r="G16" s="64" t="s">
        <v>411</v>
      </c>
      <c r="H16" s="64" t="s">
        <v>127</v>
      </c>
      <c r="I16" s="67">
        <v>12</v>
      </c>
      <c r="J16" s="67">
        <v>13</v>
      </c>
      <c r="K16" s="83">
        <v>0.3</v>
      </c>
      <c r="L16" s="66" t="s">
        <v>342</v>
      </c>
      <c r="M16" s="66" t="s">
        <v>1188</v>
      </c>
      <c r="N16" s="64" t="s">
        <v>80</v>
      </c>
      <c r="O16" s="64"/>
      <c r="P16" s="64" t="s">
        <v>1189</v>
      </c>
      <c r="Q16" s="64" t="s">
        <v>1190</v>
      </c>
      <c r="R16" s="64" t="s">
        <v>1185</v>
      </c>
    </row>
    <row r="17" spans="1:18" ht="43.2" x14ac:dyDescent="0.3">
      <c r="A17" s="65" t="s">
        <v>383</v>
      </c>
      <c r="B17" s="64" t="s">
        <v>385</v>
      </c>
      <c r="C17" s="64" t="str">
        <f>IF(B17="","",IFERROR(INDEX('Parts Master'!$C:$C,MATCH(B17,'Parts Master'!$B:$B,0)),"Part Code not in Parts Master"))</f>
        <v>Dished End</v>
      </c>
      <c r="D17" s="64" t="s">
        <v>79</v>
      </c>
      <c r="E17" s="64">
        <v>40</v>
      </c>
      <c r="F17" s="64" t="s">
        <v>128</v>
      </c>
      <c r="G17" s="64" t="s">
        <v>412</v>
      </c>
      <c r="H17" s="64" t="s">
        <v>127</v>
      </c>
      <c r="I17" s="67">
        <v>12</v>
      </c>
      <c r="J17" s="67">
        <v>13</v>
      </c>
      <c r="K17" s="83">
        <v>0.35</v>
      </c>
      <c r="L17" s="66" t="s">
        <v>342</v>
      </c>
      <c r="M17" s="66" t="s">
        <v>1191</v>
      </c>
      <c r="N17" s="64" t="s">
        <v>80</v>
      </c>
      <c r="O17" s="64"/>
      <c r="P17" s="64" t="s">
        <v>1192</v>
      </c>
      <c r="Q17" s="64" t="s">
        <v>1193</v>
      </c>
      <c r="R17" s="64" t="s">
        <v>1185</v>
      </c>
    </row>
    <row r="18" spans="1:18" ht="43.2" x14ac:dyDescent="0.3">
      <c r="A18" s="65" t="s">
        <v>383</v>
      </c>
      <c r="B18" s="64" t="s">
        <v>385</v>
      </c>
      <c r="C18" s="64" t="str">
        <f>IF(B18="","",IFERROR(INDEX('Parts Master'!$C:$C,MATCH(B18,'Parts Master'!$B:$B,0)),"Part Code not in Parts Master"))</f>
        <v>Dished End</v>
      </c>
      <c r="D18" s="64" t="s">
        <v>79</v>
      </c>
      <c r="E18" s="64">
        <v>50</v>
      </c>
      <c r="F18" s="64" t="s">
        <v>139</v>
      </c>
      <c r="G18" s="64" t="s">
        <v>413</v>
      </c>
      <c r="H18" s="64" t="s">
        <v>127</v>
      </c>
      <c r="I18" s="67">
        <v>13</v>
      </c>
      <c r="J18" s="67">
        <v>17</v>
      </c>
      <c r="K18" s="83">
        <v>16</v>
      </c>
      <c r="L18" s="66" t="s">
        <v>342</v>
      </c>
      <c r="M18" s="66" t="s">
        <v>343</v>
      </c>
      <c r="N18" s="64" t="s">
        <v>80</v>
      </c>
      <c r="O18" s="64"/>
      <c r="P18" s="64" t="s">
        <v>1202</v>
      </c>
      <c r="Q18" s="64" t="s">
        <v>1203</v>
      </c>
      <c r="R18" s="64" t="s">
        <v>1185</v>
      </c>
    </row>
    <row r="19" spans="1:18" ht="43.2" x14ac:dyDescent="0.3">
      <c r="A19" s="65" t="s">
        <v>383</v>
      </c>
      <c r="B19" s="64" t="s">
        <v>385</v>
      </c>
      <c r="C19" s="64" t="str">
        <f>IF(B19="","",IFERROR(INDEX('Parts Master'!$C:$C,MATCH(B19,'Parts Master'!$B:$B,0)),"Part Code not in Parts Master"))</f>
        <v>Dished End</v>
      </c>
      <c r="D19" s="64" t="s">
        <v>79</v>
      </c>
      <c r="E19" s="64">
        <v>60</v>
      </c>
      <c r="F19" s="64" t="s">
        <v>372</v>
      </c>
      <c r="G19" s="64" t="s">
        <v>414</v>
      </c>
      <c r="H19" s="64" t="s">
        <v>127</v>
      </c>
      <c r="I19" s="67">
        <v>13</v>
      </c>
      <c r="J19" s="67">
        <v>17</v>
      </c>
      <c r="K19" s="83">
        <v>0.4</v>
      </c>
      <c r="L19" s="66" t="s">
        <v>342</v>
      </c>
      <c r="M19" s="66" t="s">
        <v>1191</v>
      </c>
      <c r="N19" s="64" t="s">
        <v>80</v>
      </c>
      <c r="O19" s="64"/>
      <c r="P19" s="64" t="s">
        <v>1204</v>
      </c>
      <c r="Q19" s="64" t="s">
        <v>1205</v>
      </c>
      <c r="R19" s="64" t="s">
        <v>1185</v>
      </c>
    </row>
    <row r="20" spans="1:18" ht="43.2" x14ac:dyDescent="0.3">
      <c r="A20" s="65" t="s">
        <v>383</v>
      </c>
      <c r="B20" s="64" t="s">
        <v>385</v>
      </c>
      <c r="C20" s="64" t="str">
        <f>IF(B20="","",IFERROR(INDEX('Parts Master'!$C:$C,MATCH(B20,'Parts Master'!$B:$B,0)),"Part Code not in Parts Master"))</f>
        <v>Dished End</v>
      </c>
      <c r="D20" s="64" t="s">
        <v>79</v>
      </c>
      <c r="E20" s="64">
        <v>70</v>
      </c>
      <c r="F20" s="64" t="s">
        <v>130</v>
      </c>
      <c r="G20" s="64" t="s">
        <v>415</v>
      </c>
      <c r="H20" s="64" t="s">
        <v>131</v>
      </c>
      <c r="I20" s="67">
        <v>19</v>
      </c>
      <c r="J20" s="67">
        <v>25</v>
      </c>
      <c r="K20" s="83">
        <v>1.5</v>
      </c>
      <c r="L20" s="66" t="s">
        <v>342</v>
      </c>
      <c r="M20" s="66" t="s">
        <v>357</v>
      </c>
      <c r="N20" s="64" t="s">
        <v>104</v>
      </c>
      <c r="O20" s="64" t="s">
        <v>416</v>
      </c>
      <c r="P20" s="64" t="s">
        <v>1196</v>
      </c>
      <c r="Q20" s="64" t="s">
        <v>132</v>
      </c>
      <c r="R20" s="64" t="s">
        <v>1185</v>
      </c>
    </row>
    <row r="21" spans="1:18" ht="43.2" x14ac:dyDescent="0.3">
      <c r="A21" s="65" t="s">
        <v>383</v>
      </c>
      <c r="B21" s="64" t="s">
        <v>385</v>
      </c>
      <c r="C21" s="64" t="str">
        <f>IF(B21="","",IFERROR(INDEX('Parts Master'!$C:$C,MATCH(B21,'Parts Master'!$B:$B,0)),"Part Code not in Parts Master"))</f>
        <v>Dished End</v>
      </c>
      <c r="D21" s="64" t="s">
        <v>79</v>
      </c>
      <c r="E21" s="64">
        <v>80</v>
      </c>
      <c r="F21" s="64" t="s">
        <v>133</v>
      </c>
      <c r="G21" s="64" t="s">
        <v>417</v>
      </c>
      <c r="H21" s="64" t="s">
        <v>131</v>
      </c>
      <c r="I21" s="67">
        <v>20</v>
      </c>
      <c r="J21" s="67">
        <v>25</v>
      </c>
      <c r="K21" s="83">
        <v>1.2</v>
      </c>
      <c r="L21" s="66" t="s">
        <v>342</v>
      </c>
      <c r="M21" s="66" t="s">
        <v>351</v>
      </c>
      <c r="N21" s="64" t="s">
        <v>104</v>
      </c>
      <c r="O21" s="64" t="s">
        <v>416</v>
      </c>
      <c r="P21" s="64" t="s">
        <v>1197</v>
      </c>
      <c r="Q21" s="64" t="s">
        <v>1198</v>
      </c>
      <c r="R21" s="64" t="s">
        <v>1185</v>
      </c>
    </row>
    <row r="22" spans="1:18" ht="43.2" x14ac:dyDescent="0.3">
      <c r="A22" s="65" t="s">
        <v>383</v>
      </c>
      <c r="B22" s="64" t="s">
        <v>385</v>
      </c>
      <c r="C22" s="64" t="str">
        <f>IF(B22="","",IFERROR(INDEX('Parts Master'!$C:$C,MATCH(B22,'Parts Master'!$B:$B,0)),"Part Code not in Parts Master"))</f>
        <v>Dished End</v>
      </c>
      <c r="D22" s="64" t="s">
        <v>79</v>
      </c>
      <c r="E22" s="64">
        <v>90</v>
      </c>
      <c r="F22" s="64" t="s">
        <v>134</v>
      </c>
      <c r="G22" s="64" t="s">
        <v>418</v>
      </c>
      <c r="H22" s="64" t="s">
        <v>124</v>
      </c>
      <c r="I22" s="67">
        <v>17</v>
      </c>
      <c r="J22" s="67">
        <v>17</v>
      </c>
      <c r="K22" s="83">
        <v>1</v>
      </c>
      <c r="L22" s="66" t="s">
        <v>342</v>
      </c>
      <c r="M22" s="66" t="s">
        <v>357</v>
      </c>
      <c r="N22" s="64" t="s">
        <v>104</v>
      </c>
      <c r="O22" s="64" t="s">
        <v>419</v>
      </c>
      <c r="P22" s="64" t="s">
        <v>1199</v>
      </c>
      <c r="Q22" s="64" t="s">
        <v>407</v>
      </c>
      <c r="R22" s="64" t="s">
        <v>1185</v>
      </c>
    </row>
    <row r="23" spans="1:18" ht="43.2" x14ac:dyDescent="0.3">
      <c r="A23" s="65" t="s">
        <v>383</v>
      </c>
      <c r="B23" s="64" t="s">
        <v>385</v>
      </c>
      <c r="C23" s="64" t="str">
        <f>IF(B23="","",IFERROR(INDEX('Parts Master'!$C:$C,MATCH(B23,'Parts Master'!$B:$B,0)),"Part Code not in Parts Master"))</f>
        <v>Dished End</v>
      </c>
      <c r="D23" s="64" t="s">
        <v>79</v>
      </c>
      <c r="E23" s="64">
        <v>100</v>
      </c>
      <c r="F23" s="64" t="s">
        <v>135</v>
      </c>
      <c r="G23" s="64" t="s">
        <v>420</v>
      </c>
      <c r="H23" s="64" t="s">
        <v>124</v>
      </c>
      <c r="I23" s="67">
        <v>21</v>
      </c>
      <c r="J23" s="67">
        <v>17</v>
      </c>
      <c r="K23" s="83">
        <v>0.75</v>
      </c>
      <c r="L23" s="66" t="s">
        <v>342</v>
      </c>
      <c r="M23" s="66" t="s">
        <v>343</v>
      </c>
      <c r="N23" s="64" t="s">
        <v>80</v>
      </c>
      <c r="O23" s="64"/>
      <c r="P23" s="64" t="s">
        <v>1200</v>
      </c>
      <c r="Q23" s="64" t="s">
        <v>1201</v>
      </c>
      <c r="R23" s="64" t="s">
        <v>1185</v>
      </c>
    </row>
    <row r="24" spans="1:18" ht="43.2" x14ac:dyDescent="0.3">
      <c r="A24" s="65" t="s">
        <v>383</v>
      </c>
      <c r="B24" s="64" t="s">
        <v>83</v>
      </c>
      <c r="C24" s="64" t="str">
        <f>IF(B24="","",IFERROR(INDEX('Parts Master'!$C:$C,MATCH(B24,'Parts Master'!$B:$B,0)),"Part Code not in Parts Master"))</f>
        <v>Nozzle Neck</v>
      </c>
      <c r="D24" s="64" t="s">
        <v>79</v>
      </c>
      <c r="E24" s="64">
        <v>10</v>
      </c>
      <c r="F24" s="64" t="s">
        <v>121</v>
      </c>
      <c r="G24" s="64" t="s">
        <v>421</v>
      </c>
      <c r="H24" s="64" t="s">
        <v>122</v>
      </c>
      <c r="I24" s="67">
        <v>10</v>
      </c>
      <c r="J24" s="67">
        <v>11</v>
      </c>
      <c r="K24" s="83">
        <v>0.5</v>
      </c>
      <c r="L24" s="66" t="s">
        <v>342</v>
      </c>
      <c r="M24" s="66" t="s">
        <v>1182</v>
      </c>
      <c r="N24" s="64" t="s">
        <v>80</v>
      </c>
      <c r="O24" s="64"/>
      <c r="P24" s="64" t="s">
        <v>1183</v>
      </c>
      <c r="Q24" s="64" t="s">
        <v>1184</v>
      </c>
      <c r="R24" s="64" t="s">
        <v>1185</v>
      </c>
    </row>
    <row r="25" spans="1:18" ht="43.2" x14ac:dyDescent="0.3">
      <c r="A25" s="65" t="s">
        <v>383</v>
      </c>
      <c r="B25" s="64" t="s">
        <v>83</v>
      </c>
      <c r="C25" s="64" t="str">
        <f>IF(B25="","",IFERROR(INDEX('Parts Master'!$C:$C,MATCH(B25,'Parts Master'!$B:$B,0)),"Part Code not in Parts Master"))</f>
        <v>Nozzle Neck</v>
      </c>
      <c r="D25" s="64" t="s">
        <v>79</v>
      </c>
      <c r="E25" s="64">
        <v>20</v>
      </c>
      <c r="F25" s="64" t="s">
        <v>123</v>
      </c>
      <c r="G25" s="64" t="s">
        <v>422</v>
      </c>
      <c r="H25" s="64" t="s">
        <v>124</v>
      </c>
      <c r="I25" s="67">
        <v>11</v>
      </c>
      <c r="J25" s="67">
        <v>12</v>
      </c>
      <c r="K25" s="83">
        <v>0.75</v>
      </c>
      <c r="L25" s="66" t="s">
        <v>342</v>
      </c>
      <c r="M25" s="66" t="s">
        <v>1182</v>
      </c>
      <c r="N25" s="64" t="s">
        <v>80</v>
      </c>
      <c r="O25" s="64"/>
      <c r="P25" s="64" t="s">
        <v>1186</v>
      </c>
      <c r="Q25" s="64" t="s">
        <v>1187</v>
      </c>
      <c r="R25" s="64" t="s">
        <v>1185</v>
      </c>
    </row>
    <row r="26" spans="1:18" ht="43.2" x14ac:dyDescent="0.3">
      <c r="A26" s="65" t="s">
        <v>383</v>
      </c>
      <c r="B26" s="64" t="s">
        <v>83</v>
      </c>
      <c r="C26" s="64" t="str">
        <f>IF(B26="","",IFERROR(INDEX('Parts Master'!$C:$C,MATCH(B26,'Parts Master'!$B:$B,0)),"Part Code not in Parts Master"))</f>
        <v>Nozzle Neck</v>
      </c>
      <c r="D26" s="64" t="s">
        <v>79</v>
      </c>
      <c r="E26" s="64">
        <v>30</v>
      </c>
      <c r="F26" s="64" t="s">
        <v>125</v>
      </c>
      <c r="G26" s="64" t="s">
        <v>423</v>
      </c>
      <c r="H26" s="64" t="s">
        <v>127</v>
      </c>
      <c r="I26" s="67">
        <v>12</v>
      </c>
      <c r="J26" s="67">
        <v>23</v>
      </c>
      <c r="K26" s="83">
        <v>0.3</v>
      </c>
      <c r="L26" s="66" t="s">
        <v>342</v>
      </c>
      <c r="M26" s="66" t="s">
        <v>1188</v>
      </c>
      <c r="N26" s="64" t="s">
        <v>80</v>
      </c>
      <c r="O26" s="64"/>
      <c r="P26" s="64" t="s">
        <v>1189</v>
      </c>
      <c r="Q26" s="64" t="s">
        <v>1190</v>
      </c>
      <c r="R26" s="64" t="s">
        <v>1185</v>
      </c>
    </row>
    <row r="27" spans="1:18" ht="43.2" x14ac:dyDescent="0.3">
      <c r="A27" s="65" t="s">
        <v>383</v>
      </c>
      <c r="B27" s="64" t="s">
        <v>83</v>
      </c>
      <c r="C27" s="64" t="str">
        <f>IF(B27="","",IFERROR(INDEX('Parts Master'!$C:$C,MATCH(B27,'Parts Master'!$B:$B,0)),"Part Code not in Parts Master"))</f>
        <v>Nozzle Neck</v>
      </c>
      <c r="D27" s="64" t="s">
        <v>79</v>
      </c>
      <c r="E27" s="64">
        <v>40</v>
      </c>
      <c r="F27" s="64" t="s">
        <v>136</v>
      </c>
      <c r="G27" s="64" t="s">
        <v>424</v>
      </c>
      <c r="H27" s="64" t="s">
        <v>137</v>
      </c>
      <c r="I27" s="67">
        <v>14</v>
      </c>
      <c r="J27" s="67">
        <v>23</v>
      </c>
      <c r="K27" s="83">
        <v>1</v>
      </c>
      <c r="L27" s="66" t="s">
        <v>342</v>
      </c>
      <c r="M27" s="66" t="s">
        <v>343</v>
      </c>
      <c r="N27" s="64" t="s">
        <v>104</v>
      </c>
      <c r="O27" s="64" t="s">
        <v>425</v>
      </c>
      <c r="P27" s="64" t="s">
        <v>1206</v>
      </c>
      <c r="Q27" s="64" t="s">
        <v>1207</v>
      </c>
      <c r="R27" s="64" t="s">
        <v>1185</v>
      </c>
    </row>
    <row r="28" spans="1:18" ht="43.2" x14ac:dyDescent="0.3">
      <c r="A28" s="65" t="s">
        <v>383</v>
      </c>
      <c r="B28" s="64" t="s">
        <v>83</v>
      </c>
      <c r="C28" s="64" t="str">
        <f>IF(B28="","",IFERROR(INDEX('Parts Master'!$C:$C,MATCH(B28,'Parts Master'!$B:$B,0)),"Part Code not in Parts Master"))</f>
        <v>Nozzle Neck</v>
      </c>
      <c r="D28" s="64" t="s">
        <v>79</v>
      </c>
      <c r="E28" s="64">
        <v>50</v>
      </c>
      <c r="F28" s="64" t="s">
        <v>128</v>
      </c>
      <c r="G28" s="64" t="s">
        <v>426</v>
      </c>
      <c r="H28" s="64" t="s">
        <v>127</v>
      </c>
      <c r="I28" s="67">
        <v>12</v>
      </c>
      <c r="J28" s="67">
        <v>23</v>
      </c>
      <c r="K28" s="83">
        <v>0.35</v>
      </c>
      <c r="L28" s="66" t="s">
        <v>342</v>
      </c>
      <c r="M28" s="66" t="s">
        <v>1191</v>
      </c>
      <c r="N28" s="64" t="s">
        <v>80</v>
      </c>
      <c r="O28" s="64"/>
      <c r="P28" s="64" t="s">
        <v>1192</v>
      </c>
      <c r="Q28" s="64" t="s">
        <v>1193</v>
      </c>
      <c r="R28" s="64" t="s">
        <v>1185</v>
      </c>
    </row>
    <row r="29" spans="1:18" ht="43.2" x14ac:dyDescent="0.3">
      <c r="A29" s="65" t="s">
        <v>383</v>
      </c>
      <c r="B29" s="64" t="s">
        <v>83</v>
      </c>
      <c r="C29" s="64" t="str">
        <f>IF(B29="","",IFERROR(INDEX('Parts Master'!$C:$C,MATCH(B29,'Parts Master'!$B:$B,0)),"Part Code not in Parts Master"))</f>
        <v>Nozzle Neck</v>
      </c>
      <c r="D29" s="64" t="s">
        <v>79</v>
      </c>
      <c r="E29" s="64">
        <v>60</v>
      </c>
      <c r="F29" s="64" t="s">
        <v>130</v>
      </c>
      <c r="G29" s="64" t="s">
        <v>427</v>
      </c>
      <c r="H29" s="64" t="s">
        <v>131</v>
      </c>
      <c r="I29" s="67">
        <v>19</v>
      </c>
      <c r="J29" s="67">
        <v>26</v>
      </c>
      <c r="K29" s="83">
        <v>1.5</v>
      </c>
      <c r="L29" s="66" t="s">
        <v>342</v>
      </c>
      <c r="M29" s="66" t="s">
        <v>357</v>
      </c>
      <c r="N29" s="64" t="s">
        <v>80</v>
      </c>
      <c r="O29" s="64"/>
      <c r="P29" s="64" t="s">
        <v>1196</v>
      </c>
      <c r="Q29" s="64" t="s">
        <v>132</v>
      </c>
      <c r="R29" s="64" t="s">
        <v>1185</v>
      </c>
    </row>
    <row r="30" spans="1:18" ht="43.2" x14ac:dyDescent="0.3">
      <c r="A30" s="65" t="s">
        <v>383</v>
      </c>
      <c r="B30" s="64" t="s">
        <v>83</v>
      </c>
      <c r="C30" s="64" t="str">
        <f>IF(B30="","",IFERROR(INDEX('Parts Master'!$C:$C,MATCH(B30,'Parts Master'!$B:$B,0)),"Part Code not in Parts Master"))</f>
        <v>Nozzle Neck</v>
      </c>
      <c r="D30" s="64" t="s">
        <v>79</v>
      </c>
      <c r="E30" s="64">
        <v>70</v>
      </c>
      <c r="F30" s="64" t="s">
        <v>133</v>
      </c>
      <c r="G30" s="64" t="s">
        <v>428</v>
      </c>
      <c r="H30" s="64" t="s">
        <v>131</v>
      </c>
      <c r="I30" s="67">
        <v>20</v>
      </c>
      <c r="J30" s="67">
        <v>26</v>
      </c>
      <c r="K30" s="83">
        <v>1.2</v>
      </c>
      <c r="L30" s="66" t="s">
        <v>342</v>
      </c>
      <c r="M30" s="66" t="s">
        <v>351</v>
      </c>
      <c r="N30" s="64" t="s">
        <v>80</v>
      </c>
      <c r="O30" s="64"/>
      <c r="P30" s="64" t="s">
        <v>1197</v>
      </c>
      <c r="Q30" s="64" t="s">
        <v>1198</v>
      </c>
      <c r="R30" s="64" t="s">
        <v>1185</v>
      </c>
    </row>
    <row r="31" spans="1:18" ht="43.2" x14ac:dyDescent="0.3">
      <c r="A31" s="65" t="s">
        <v>383</v>
      </c>
      <c r="B31" s="64" t="s">
        <v>83</v>
      </c>
      <c r="C31" s="64" t="str">
        <f>IF(B31="","",IFERROR(INDEX('Parts Master'!$C:$C,MATCH(B31,'Parts Master'!$B:$B,0)),"Part Code not in Parts Master"))</f>
        <v>Nozzle Neck</v>
      </c>
      <c r="D31" s="64" t="s">
        <v>79</v>
      </c>
      <c r="E31" s="64">
        <v>80</v>
      </c>
      <c r="F31" s="64" t="s">
        <v>134</v>
      </c>
      <c r="G31" s="64" t="s">
        <v>429</v>
      </c>
      <c r="H31" s="64" t="s">
        <v>124</v>
      </c>
      <c r="I31" s="67">
        <v>17</v>
      </c>
      <c r="J31" s="67">
        <v>28</v>
      </c>
      <c r="K31" s="83">
        <v>1</v>
      </c>
      <c r="L31" s="66" t="s">
        <v>342</v>
      </c>
      <c r="M31" s="66" t="s">
        <v>357</v>
      </c>
      <c r="N31" s="64" t="s">
        <v>104</v>
      </c>
      <c r="O31" s="64" t="s">
        <v>430</v>
      </c>
      <c r="P31" s="64" t="s">
        <v>1199</v>
      </c>
      <c r="Q31" s="64" t="s">
        <v>407</v>
      </c>
      <c r="R31" s="64" t="s">
        <v>1185</v>
      </c>
    </row>
    <row r="32" spans="1:18" ht="43.2" x14ac:dyDescent="0.3">
      <c r="A32" s="65" t="s">
        <v>383</v>
      </c>
      <c r="B32" s="64" t="s">
        <v>83</v>
      </c>
      <c r="C32" s="64" t="str">
        <f>IF(B32="","",IFERROR(INDEX('Parts Master'!$C:$C,MATCH(B32,'Parts Master'!$B:$B,0)),"Part Code not in Parts Master"))</f>
        <v>Nozzle Neck</v>
      </c>
      <c r="D32" s="64" t="s">
        <v>79</v>
      </c>
      <c r="E32" s="64">
        <v>90</v>
      </c>
      <c r="F32" s="64" t="s">
        <v>135</v>
      </c>
      <c r="G32" s="64" t="s">
        <v>431</v>
      </c>
      <c r="H32" s="64" t="s">
        <v>124</v>
      </c>
      <c r="I32" s="67">
        <v>21</v>
      </c>
      <c r="J32" s="67">
        <v>26</v>
      </c>
      <c r="K32" s="83">
        <v>0.75</v>
      </c>
      <c r="L32" s="66" t="s">
        <v>342</v>
      </c>
      <c r="M32" s="66" t="s">
        <v>343</v>
      </c>
      <c r="N32" s="64" t="s">
        <v>80</v>
      </c>
      <c r="O32" s="64"/>
      <c r="P32" s="64" t="s">
        <v>1200</v>
      </c>
      <c r="Q32" s="64" t="s">
        <v>1201</v>
      </c>
      <c r="R32" s="64" t="s">
        <v>1185</v>
      </c>
    </row>
    <row r="33" spans="1:18" ht="43.2" x14ac:dyDescent="0.3">
      <c r="A33" s="65" t="s">
        <v>383</v>
      </c>
      <c r="B33" s="64" t="s">
        <v>387</v>
      </c>
      <c r="C33" s="64" t="str">
        <f>IF(B33="","",IFERROR(INDEX('Parts Master'!$C:$C,MATCH(B33,'Parts Master'!$B:$B,0)),"Part Code not in Parts Master"))</f>
        <v>Nozzle Flange</v>
      </c>
      <c r="D33" s="64" t="s">
        <v>79</v>
      </c>
      <c r="E33" s="64">
        <v>10</v>
      </c>
      <c r="F33" s="64" t="s">
        <v>121</v>
      </c>
      <c r="G33" s="64" t="s">
        <v>432</v>
      </c>
      <c r="H33" s="64" t="s">
        <v>122</v>
      </c>
      <c r="I33" s="67">
        <v>10</v>
      </c>
      <c r="J33" s="67">
        <v>11</v>
      </c>
      <c r="K33" s="83">
        <v>0.5</v>
      </c>
      <c r="L33" s="66" t="s">
        <v>342</v>
      </c>
      <c r="M33" s="66" t="s">
        <v>1182</v>
      </c>
      <c r="N33" s="64" t="s">
        <v>80</v>
      </c>
      <c r="O33" s="64"/>
      <c r="P33" s="64" t="s">
        <v>1183</v>
      </c>
      <c r="Q33" s="64" t="s">
        <v>1184</v>
      </c>
      <c r="R33" s="64" t="s">
        <v>1185</v>
      </c>
    </row>
    <row r="34" spans="1:18" ht="43.2" x14ac:dyDescent="0.3">
      <c r="A34" s="65" t="s">
        <v>383</v>
      </c>
      <c r="B34" s="64" t="s">
        <v>387</v>
      </c>
      <c r="C34" s="64" t="str">
        <f>IF(B34="","",IFERROR(INDEX('Parts Master'!$C:$C,MATCH(B34,'Parts Master'!$B:$B,0)),"Part Code not in Parts Master"))</f>
        <v>Nozzle Flange</v>
      </c>
      <c r="D34" s="64" t="s">
        <v>79</v>
      </c>
      <c r="E34" s="64">
        <v>20</v>
      </c>
      <c r="F34" s="64" t="s">
        <v>123</v>
      </c>
      <c r="G34" s="64" t="s">
        <v>433</v>
      </c>
      <c r="H34" s="64" t="s">
        <v>124</v>
      </c>
      <c r="I34" s="67">
        <v>11</v>
      </c>
      <c r="J34" s="67">
        <v>12</v>
      </c>
      <c r="K34" s="83">
        <v>0.75</v>
      </c>
      <c r="L34" s="66" t="s">
        <v>342</v>
      </c>
      <c r="M34" s="66" t="s">
        <v>1182</v>
      </c>
      <c r="N34" s="64" t="s">
        <v>80</v>
      </c>
      <c r="O34" s="64"/>
      <c r="P34" s="64" t="s">
        <v>1186</v>
      </c>
      <c r="Q34" s="64" t="s">
        <v>1187</v>
      </c>
      <c r="R34" s="64" t="s">
        <v>1185</v>
      </c>
    </row>
    <row r="35" spans="1:18" ht="43.2" x14ac:dyDescent="0.3">
      <c r="A35" s="65" t="s">
        <v>383</v>
      </c>
      <c r="B35" s="64" t="s">
        <v>387</v>
      </c>
      <c r="C35" s="64" t="str">
        <f>IF(B35="","",IFERROR(INDEX('Parts Master'!$C:$C,MATCH(B35,'Parts Master'!$B:$B,0)),"Part Code not in Parts Master"))</f>
        <v>Nozzle Flange</v>
      </c>
      <c r="D35" s="64" t="s">
        <v>79</v>
      </c>
      <c r="E35" s="64">
        <v>30</v>
      </c>
      <c r="F35" s="64" t="s">
        <v>134</v>
      </c>
      <c r="G35" s="64" t="s">
        <v>434</v>
      </c>
      <c r="H35" s="64" t="s">
        <v>124</v>
      </c>
      <c r="I35" s="67">
        <v>17</v>
      </c>
      <c r="J35" s="67">
        <v>12</v>
      </c>
      <c r="K35" s="83">
        <v>1</v>
      </c>
      <c r="L35" s="66" t="s">
        <v>342</v>
      </c>
      <c r="M35" s="66" t="s">
        <v>357</v>
      </c>
      <c r="N35" s="64" t="s">
        <v>104</v>
      </c>
      <c r="O35" s="64" t="s">
        <v>435</v>
      </c>
      <c r="P35" s="64" t="s">
        <v>1199</v>
      </c>
      <c r="Q35" s="64" t="s">
        <v>407</v>
      </c>
      <c r="R35" s="64" t="s">
        <v>1185</v>
      </c>
    </row>
    <row r="36" spans="1:18" ht="43.2" x14ac:dyDescent="0.3">
      <c r="A36" s="65" t="s">
        <v>383</v>
      </c>
      <c r="B36" s="64" t="s">
        <v>387</v>
      </c>
      <c r="C36" s="64" t="str">
        <f>IF(B36="","",IFERROR(INDEX('Parts Master'!$C:$C,MATCH(B36,'Parts Master'!$B:$B,0)),"Part Code not in Parts Master"))</f>
        <v>Nozzle Flange</v>
      </c>
      <c r="D36" s="64" t="s">
        <v>79</v>
      </c>
      <c r="E36" s="64">
        <v>40</v>
      </c>
      <c r="F36" s="64" t="s">
        <v>136</v>
      </c>
      <c r="G36" s="64" t="s">
        <v>436</v>
      </c>
      <c r="H36" s="64" t="s">
        <v>137</v>
      </c>
      <c r="I36" s="67">
        <v>14</v>
      </c>
      <c r="J36" s="67">
        <v>23</v>
      </c>
      <c r="K36" s="83">
        <v>2</v>
      </c>
      <c r="L36" s="66" t="s">
        <v>342</v>
      </c>
      <c r="M36" s="66" t="s">
        <v>343</v>
      </c>
      <c r="N36" s="64" t="s">
        <v>104</v>
      </c>
      <c r="O36" s="64" t="s">
        <v>437</v>
      </c>
      <c r="P36" s="64" t="s">
        <v>1206</v>
      </c>
      <c r="Q36" s="64" t="s">
        <v>1207</v>
      </c>
      <c r="R36" s="64" t="s">
        <v>1185</v>
      </c>
    </row>
    <row r="37" spans="1:18" ht="41.4" x14ac:dyDescent="0.3">
      <c r="A37" s="70" t="s">
        <v>383</v>
      </c>
      <c r="B37" s="68" t="s">
        <v>387</v>
      </c>
      <c r="C37" s="69" t="str">
        <f>IF(B37="","",IFERROR(INDEX('Parts Master'!$C:$C,MATCH(B37,'Parts Master'!$B:$B,0)),"Part Code not in Parts Master"))</f>
        <v>Nozzle Flange</v>
      </c>
      <c r="D37" s="68" t="s">
        <v>79</v>
      </c>
      <c r="E37" s="68">
        <v>50</v>
      </c>
      <c r="F37" s="68" t="s">
        <v>135</v>
      </c>
      <c r="G37" s="68" t="s">
        <v>438</v>
      </c>
      <c r="H37" s="68" t="s">
        <v>124</v>
      </c>
      <c r="I37" s="72">
        <v>21</v>
      </c>
      <c r="J37" s="72">
        <v>23</v>
      </c>
      <c r="K37" s="84">
        <v>0.75</v>
      </c>
      <c r="L37" s="71" t="s">
        <v>342</v>
      </c>
      <c r="M37" s="71" t="s">
        <v>343</v>
      </c>
      <c r="N37" s="68" t="s">
        <v>80</v>
      </c>
      <c r="O37" s="68"/>
      <c r="P37" s="68" t="s">
        <v>1200</v>
      </c>
      <c r="Q37" s="68" t="s">
        <v>1201</v>
      </c>
      <c r="R37" s="68" t="s">
        <v>1185</v>
      </c>
    </row>
    <row r="38" spans="1:18" ht="41.4" x14ac:dyDescent="0.3">
      <c r="A38" s="70" t="s">
        <v>383</v>
      </c>
      <c r="B38" s="68" t="s">
        <v>88</v>
      </c>
      <c r="C38" s="69" t="str">
        <f>IF(B38="","",IFERROR(INDEX('Parts Master'!$C:$C,MATCH(B38,'Parts Master'!$B:$B,0)),"Part Code not in Parts Master"))</f>
        <v>Tube Sheet</v>
      </c>
      <c r="D38" s="68" t="s">
        <v>79</v>
      </c>
      <c r="E38" s="68">
        <v>10</v>
      </c>
      <c r="F38" s="68" t="s">
        <v>121</v>
      </c>
      <c r="G38" s="68" t="s">
        <v>439</v>
      </c>
      <c r="H38" s="68" t="s">
        <v>122</v>
      </c>
      <c r="I38" s="72"/>
      <c r="J38" s="72">
        <v>11</v>
      </c>
      <c r="K38" s="84">
        <v>0.5</v>
      </c>
      <c r="L38" s="71" t="s">
        <v>342</v>
      </c>
      <c r="M38" s="71" t="s">
        <v>1182</v>
      </c>
      <c r="N38" s="68" t="s">
        <v>80</v>
      </c>
      <c r="O38" s="68"/>
      <c r="P38" s="68" t="s">
        <v>1183</v>
      </c>
      <c r="Q38" s="68" t="s">
        <v>1184</v>
      </c>
      <c r="R38" s="68" t="s">
        <v>1185</v>
      </c>
    </row>
    <row r="39" spans="1:18" ht="41.4" x14ac:dyDescent="0.3">
      <c r="A39" s="70" t="s">
        <v>383</v>
      </c>
      <c r="B39" s="68" t="s">
        <v>88</v>
      </c>
      <c r="C39" s="69" t="str">
        <f>IF(B39="","",IFERROR(INDEX('Parts Master'!$C:$C,MATCH(B39,'Parts Master'!$B:$B,0)),"Part Code not in Parts Master"))</f>
        <v>Tube Sheet</v>
      </c>
      <c r="D39" s="68" t="s">
        <v>79</v>
      </c>
      <c r="E39" s="68">
        <v>20</v>
      </c>
      <c r="F39" s="68" t="s">
        <v>123</v>
      </c>
      <c r="G39" s="68" t="s">
        <v>138</v>
      </c>
      <c r="H39" s="68" t="s">
        <v>124</v>
      </c>
      <c r="I39" s="72"/>
      <c r="J39" s="72">
        <v>12</v>
      </c>
      <c r="K39" s="84">
        <v>0.75</v>
      </c>
      <c r="L39" s="71" t="s">
        <v>342</v>
      </c>
      <c r="M39" s="71" t="s">
        <v>1182</v>
      </c>
      <c r="N39" s="68" t="s">
        <v>80</v>
      </c>
      <c r="O39" s="68"/>
      <c r="P39" s="68" t="s">
        <v>1186</v>
      </c>
      <c r="Q39" s="68" t="s">
        <v>1187</v>
      </c>
      <c r="R39" s="68" t="s">
        <v>1185</v>
      </c>
    </row>
    <row r="40" spans="1:18" ht="41.4" x14ac:dyDescent="0.3">
      <c r="A40" s="70" t="s">
        <v>383</v>
      </c>
      <c r="B40" s="68" t="s">
        <v>88</v>
      </c>
      <c r="C40" s="69" t="str">
        <f>IF(B40="","",IFERROR(INDEX('Parts Master'!$C:$C,MATCH(B40,'Parts Master'!$B:$B,0)),"Part Code not in Parts Master"))</f>
        <v>Tube Sheet</v>
      </c>
      <c r="D40" s="68" t="s">
        <v>79</v>
      </c>
      <c r="E40" s="68">
        <v>30</v>
      </c>
      <c r="F40" s="68" t="s">
        <v>134</v>
      </c>
      <c r="G40" s="68" t="s">
        <v>440</v>
      </c>
      <c r="H40" s="68" t="s">
        <v>124</v>
      </c>
      <c r="I40" s="72"/>
      <c r="J40" s="72">
        <v>12</v>
      </c>
      <c r="K40" s="84">
        <v>1</v>
      </c>
      <c r="L40" s="71" t="s">
        <v>342</v>
      </c>
      <c r="M40" s="71" t="s">
        <v>357</v>
      </c>
      <c r="N40" s="68" t="s">
        <v>80</v>
      </c>
      <c r="O40" s="68"/>
      <c r="P40" s="68" t="s">
        <v>1199</v>
      </c>
      <c r="Q40" s="68" t="s">
        <v>407</v>
      </c>
      <c r="R40" s="68" t="s">
        <v>1185</v>
      </c>
    </row>
    <row r="41" spans="1:18" ht="41.4" x14ac:dyDescent="0.3">
      <c r="A41" s="70" t="s">
        <v>383</v>
      </c>
      <c r="B41" s="68" t="s">
        <v>88</v>
      </c>
      <c r="C41" s="69" t="str">
        <f>IF(B41="","",IFERROR(INDEX('Parts Master'!$C:$C,MATCH(B41,'Parts Master'!$B:$B,0)),"Part Code not in Parts Master"))</f>
        <v>Tube Sheet</v>
      </c>
      <c r="D41" s="68" t="s">
        <v>79</v>
      </c>
      <c r="E41" s="68">
        <v>40</v>
      </c>
      <c r="F41" s="68" t="s">
        <v>136</v>
      </c>
      <c r="G41" s="68" t="s">
        <v>441</v>
      </c>
      <c r="H41" s="68" t="s">
        <v>137</v>
      </c>
      <c r="I41" s="72"/>
      <c r="J41" s="72">
        <v>20</v>
      </c>
      <c r="K41" s="84">
        <v>0.08</v>
      </c>
      <c r="L41" s="71" t="s">
        <v>342</v>
      </c>
      <c r="M41" s="71" t="s">
        <v>361</v>
      </c>
      <c r="N41" s="68" t="s">
        <v>80</v>
      </c>
      <c r="O41" s="68"/>
      <c r="P41" s="68" t="s">
        <v>1206</v>
      </c>
      <c r="Q41" s="68" t="s">
        <v>1207</v>
      </c>
      <c r="R41" s="68" t="s">
        <v>1185</v>
      </c>
    </row>
    <row r="42" spans="1:18" ht="41.4" x14ac:dyDescent="0.3">
      <c r="A42" s="70" t="s">
        <v>383</v>
      </c>
      <c r="B42" s="68" t="s">
        <v>88</v>
      </c>
      <c r="C42" s="69" t="str">
        <f>IF(B42="","",IFERROR(INDEX('Parts Master'!$C:$C,MATCH(B42,'Parts Master'!$B:$B,0)),"Part Code not in Parts Master"))</f>
        <v>Tube Sheet</v>
      </c>
      <c r="D42" s="68" t="s">
        <v>79</v>
      </c>
      <c r="E42" s="68">
        <v>50</v>
      </c>
      <c r="F42" s="68" t="s">
        <v>136</v>
      </c>
      <c r="G42" s="68" t="s">
        <v>442</v>
      </c>
      <c r="H42" s="68" t="s">
        <v>137</v>
      </c>
      <c r="I42" s="72"/>
      <c r="J42" s="72">
        <v>20</v>
      </c>
      <c r="K42" s="84">
        <v>0.08</v>
      </c>
      <c r="L42" s="71" t="s">
        <v>342</v>
      </c>
      <c r="M42" s="71" t="s">
        <v>361</v>
      </c>
      <c r="N42" s="68" t="s">
        <v>80</v>
      </c>
      <c r="O42" s="68"/>
      <c r="P42" s="68" t="s">
        <v>1206</v>
      </c>
      <c r="Q42" s="68" t="s">
        <v>1207</v>
      </c>
      <c r="R42" s="68" t="s">
        <v>1185</v>
      </c>
    </row>
    <row r="43" spans="1:18" ht="41.4" x14ac:dyDescent="0.3">
      <c r="A43" s="70" t="s">
        <v>383</v>
      </c>
      <c r="B43" s="68" t="s">
        <v>88</v>
      </c>
      <c r="C43" s="69" t="str">
        <f>IF(B43="","",IFERROR(INDEX('Parts Master'!$C:$C,MATCH(B43,'Parts Master'!$B:$B,0)),"Part Code not in Parts Master"))</f>
        <v>Tube Sheet</v>
      </c>
      <c r="D43" s="68" t="s">
        <v>79</v>
      </c>
      <c r="E43" s="68">
        <v>60</v>
      </c>
      <c r="F43" s="68" t="s">
        <v>136</v>
      </c>
      <c r="G43" s="68" t="s">
        <v>443</v>
      </c>
      <c r="H43" s="68" t="s">
        <v>137</v>
      </c>
      <c r="I43" s="72"/>
      <c r="J43" s="72">
        <v>20</v>
      </c>
      <c r="K43" s="84">
        <v>0.08</v>
      </c>
      <c r="L43" s="71" t="s">
        <v>342</v>
      </c>
      <c r="M43" s="71" t="s">
        <v>361</v>
      </c>
      <c r="N43" s="68" t="s">
        <v>80</v>
      </c>
      <c r="O43" s="68"/>
      <c r="P43" s="68" t="s">
        <v>1206</v>
      </c>
      <c r="Q43" s="68" t="s">
        <v>1207</v>
      </c>
      <c r="R43" s="68" t="s">
        <v>1185</v>
      </c>
    </row>
    <row r="44" spans="1:18" ht="41.4" x14ac:dyDescent="0.3">
      <c r="A44" s="70" t="s">
        <v>383</v>
      </c>
      <c r="B44" s="68" t="s">
        <v>88</v>
      </c>
      <c r="C44" s="69" t="str">
        <f>IF(B44="","",IFERROR(INDEX('Parts Master'!$C:$C,MATCH(B44,'Parts Master'!$B:$B,0)),"Part Code not in Parts Master"))</f>
        <v>Tube Sheet</v>
      </c>
      <c r="D44" s="68" t="s">
        <v>79</v>
      </c>
      <c r="E44" s="68">
        <v>70</v>
      </c>
      <c r="F44" s="68" t="s">
        <v>135</v>
      </c>
      <c r="G44" s="68" t="s">
        <v>444</v>
      </c>
      <c r="H44" s="68" t="s">
        <v>124</v>
      </c>
      <c r="I44" s="72"/>
      <c r="J44" s="72">
        <v>21</v>
      </c>
      <c r="K44" s="84">
        <v>0.75</v>
      </c>
      <c r="L44" s="71" t="s">
        <v>342</v>
      </c>
      <c r="M44" s="71" t="s">
        <v>343</v>
      </c>
      <c r="N44" s="68" t="s">
        <v>80</v>
      </c>
      <c r="O44" s="68"/>
      <c r="P44" s="68" t="s">
        <v>1200</v>
      </c>
      <c r="Q44" s="68" t="s">
        <v>1201</v>
      </c>
      <c r="R44" s="68" t="s">
        <v>1185</v>
      </c>
    </row>
    <row r="45" spans="1:18" ht="41.4" x14ac:dyDescent="0.3">
      <c r="A45" s="70" t="s">
        <v>383</v>
      </c>
      <c r="B45" s="68" t="s">
        <v>391</v>
      </c>
      <c r="C45" s="69" t="str">
        <f>IF(B45="","",IFERROR(INDEX('Parts Master'!$C:$C,MATCH(B45,'Parts Master'!$B:$B,0)),"Part Code not in Parts Master"))</f>
        <v>Tube</v>
      </c>
      <c r="D45" s="68" t="s">
        <v>79</v>
      </c>
      <c r="E45" s="68">
        <v>10</v>
      </c>
      <c r="F45" s="68" t="s">
        <v>121</v>
      </c>
      <c r="G45" s="68" t="s">
        <v>445</v>
      </c>
      <c r="H45" s="68" t="s">
        <v>122</v>
      </c>
      <c r="I45" s="72"/>
      <c r="J45" s="72">
        <v>11</v>
      </c>
      <c r="K45" s="84">
        <v>0.5</v>
      </c>
      <c r="L45" s="71" t="s">
        <v>342</v>
      </c>
      <c r="M45" s="71" t="s">
        <v>1182</v>
      </c>
      <c r="N45" s="68" t="s">
        <v>80</v>
      </c>
      <c r="O45" s="68"/>
      <c r="P45" s="68" t="s">
        <v>1183</v>
      </c>
      <c r="Q45" s="68" t="s">
        <v>1184</v>
      </c>
      <c r="R45" s="68" t="s">
        <v>1185</v>
      </c>
    </row>
    <row r="46" spans="1:18" ht="41.4" x14ac:dyDescent="0.3">
      <c r="A46" s="70" t="s">
        <v>383</v>
      </c>
      <c r="B46" s="68" t="s">
        <v>391</v>
      </c>
      <c r="C46" s="69" t="str">
        <f>IF(B46="","",IFERROR(INDEX('Parts Master'!$C:$C,MATCH(B46,'Parts Master'!$B:$B,0)),"Part Code not in Parts Master"))</f>
        <v>Tube</v>
      </c>
      <c r="D46" s="68" t="s">
        <v>79</v>
      </c>
      <c r="E46" s="68">
        <v>20</v>
      </c>
      <c r="F46" s="68" t="s">
        <v>123</v>
      </c>
      <c r="G46" s="68" t="s">
        <v>446</v>
      </c>
      <c r="H46" s="68" t="s">
        <v>124</v>
      </c>
      <c r="I46" s="72"/>
      <c r="J46" s="72">
        <v>12</v>
      </c>
      <c r="K46" s="84">
        <v>0.75</v>
      </c>
      <c r="L46" s="71" t="s">
        <v>342</v>
      </c>
      <c r="M46" s="71" t="s">
        <v>1182</v>
      </c>
      <c r="N46" s="68" t="s">
        <v>80</v>
      </c>
      <c r="O46" s="68"/>
      <c r="P46" s="68" t="s">
        <v>1186</v>
      </c>
      <c r="Q46" s="68" t="s">
        <v>1187</v>
      </c>
      <c r="R46" s="68" t="s">
        <v>1185</v>
      </c>
    </row>
    <row r="47" spans="1:18" ht="41.4" x14ac:dyDescent="0.3">
      <c r="A47" s="70" t="s">
        <v>383</v>
      </c>
      <c r="B47" s="68" t="s">
        <v>391</v>
      </c>
      <c r="C47" s="69" t="str">
        <f>IF(B47="","",IFERROR(INDEX('Parts Master'!$C:$C,MATCH(B47,'Parts Master'!$B:$B,0)),"Part Code not in Parts Master"))</f>
        <v>Tube</v>
      </c>
      <c r="D47" s="68" t="s">
        <v>79</v>
      </c>
      <c r="E47" s="68">
        <v>30</v>
      </c>
      <c r="F47" s="68" t="s">
        <v>135</v>
      </c>
      <c r="G47" s="68" t="s">
        <v>447</v>
      </c>
      <c r="H47" s="68" t="s">
        <v>124</v>
      </c>
      <c r="I47" s="72"/>
      <c r="J47" s="72">
        <v>31</v>
      </c>
      <c r="K47" s="84">
        <v>0.05</v>
      </c>
      <c r="L47" s="71" t="s">
        <v>342</v>
      </c>
      <c r="M47" s="71" t="s">
        <v>364</v>
      </c>
      <c r="N47" s="68" t="s">
        <v>80</v>
      </c>
      <c r="O47" s="68"/>
      <c r="P47" s="68" t="s">
        <v>1200</v>
      </c>
      <c r="Q47" s="68" t="s">
        <v>1201</v>
      </c>
      <c r="R47" s="68" t="s">
        <v>1185</v>
      </c>
    </row>
    <row r="48" spans="1:18" ht="41.4" x14ac:dyDescent="0.3">
      <c r="A48" s="70" t="s">
        <v>383</v>
      </c>
      <c r="B48" s="68" t="s">
        <v>391</v>
      </c>
      <c r="C48" s="69" t="str">
        <f>IF(B48="","",IFERROR(INDEX('Parts Master'!$C:$C,MATCH(B48,'Parts Master'!$B:$B,0)),"Part Code not in Parts Master"))</f>
        <v>Tube</v>
      </c>
      <c r="D48" s="68" t="s">
        <v>79</v>
      </c>
      <c r="E48" s="68">
        <v>40</v>
      </c>
      <c r="F48" s="68" t="s">
        <v>125</v>
      </c>
      <c r="G48" s="68" t="s">
        <v>448</v>
      </c>
      <c r="H48" s="68" t="s">
        <v>127</v>
      </c>
      <c r="I48" s="72"/>
      <c r="J48" s="72">
        <v>31</v>
      </c>
      <c r="K48" s="84">
        <v>0.08</v>
      </c>
      <c r="L48" s="71" t="s">
        <v>342</v>
      </c>
      <c r="M48" s="71" t="s">
        <v>364</v>
      </c>
      <c r="N48" s="68" t="s">
        <v>104</v>
      </c>
      <c r="O48" s="68" t="s">
        <v>449</v>
      </c>
      <c r="P48" s="68" t="s">
        <v>1189</v>
      </c>
      <c r="Q48" s="68" t="s">
        <v>1190</v>
      </c>
      <c r="R48" s="68" t="s">
        <v>1185</v>
      </c>
    </row>
    <row r="49" spans="1:18" ht="41.4" x14ac:dyDescent="0.3">
      <c r="A49" s="70" t="s">
        <v>383</v>
      </c>
      <c r="B49" s="68" t="s">
        <v>391</v>
      </c>
      <c r="C49" s="69" t="str">
        <f>IF(B49="","",IFERROR(INDEX('Parts Master'!$C:$C,MATCH(B49,'Parts Master'!$B:$B,0)),"Part Code not in Parts Master"))</f>
        <v>Tube</v>
      </c>
      <c r="D49" s="68" t="s">
        <v>79</v>
      </c>
      <c r="E49" s="68">
        <v>50</v>
      </c>
      <c r="F49" s="68" t="s">
        <v>135</v>
      </c>
      <c r="G49" s="68" t="s">
        <v>450</v>
      </c>
      <c r="H49" s="68" t="s">
        <v>124</v>
      </c>
      <c r="I49" s="72"/>
      <c r="J49" s="72">
        <v>31</v>
      </c>
      <c r="K49" s="84">
        <v>0.05</v>
      </c>
      <c r="L49" s="71" t="s">
        <v>342</v>
      </c>
      <c r="M49" s="71" t="s">
        <v>364</v>
      </c>
      <c r="N49" s="68" t="s">
        <v>104</v>
      </c>
      <c r="O49" s="68" t="s">
        <v>451</v>
      </c>
      <c r="P49" s="68" t="s">
        <v>1200</v>
      </c>
      <c r="Q49" s="68" t="s">
        <v>1201</v>
      </c>
      <c r="R49" s="68" t="s">
        <v>1185</v>
      </c>
    </row>
    <row r="50" spans="1:18" ht="41.4" x14ac:dyDescent="0.3">
      <c r="A50" s="70" t="s">
        <v>383</v>
      </c>
      <c r="B50" s="68" t="s">
        <v>95</v>
      </c>
      <c r="C50" s="69" t="str">
        <f>IF(B50="","",IFERROR(INDEX('Parts Master'!$C:$C,MATCH(B50,'Parts Master'!$B:$B,0)),"Part Code not in Parts Master"))</f>
        <v>Baffle</v>
      </c>
      <c r="D50" s="68" t="s">
        <v>79</v>
      </c>
      <c r="E50" s="68">
        <v>10</v>
      </c>
      <c r="F50" s="68" t="s">
        <v>121</v>
      </c>
      <c r="G50" s="68" t="s">
        <v>452</v>
      </c>
      <c r="H50" s="68" t="s">
        <v>122</v>
      </c>
      <c r="I50" s="72"/>
      <c r="J50" s="72">
        <v>11</v>
      </c>
      <c r="K50" s="84">
        <v>0.5</v>
      </c>
      <c r="L50" s="71" t="s">
        <v>342</v>
      </c>
      <c r="M50" s="71" t="s">
        <v>1182</v>
      </c>
      <c r="N50" s="68" t="s">
        <v>80</v>
      </c>
      <c r="O50" s="68"/>
      <c r="P50" s="68" t="s">
        <v>1183</v>
      </c>
      <c r="Q50" s="68" t="s">
        <v>1184</v>
      </c>
      <c r="R50" s="68" t="s">
        <v>1185</v>
      </c>
    </row>
    <row r="51" spans="1:18" ht="41.4" x14ac:dyDescent="0.3">
      <c r="A51" s="70" t="s">
        <v>383</v>
      </c>
      <c r="B51" s="68" t="s">
        <v>95</v>
      </c>
      <c r="C51" s="69" t="str">
        <f>IF(B51="","",IFERROR(INDEX('Parts Master'!$C:$C,MATCH(B51,'Parts Master'!$B:$B,0)),"Part Code not in Parts Master"))</f>
        <v>Baffle</v>
      </c>
      <c r="D51" s="68" t="s">
        <v>79</v>
      </c>
      <c r="E51" s="68">
        <v>20</v>
      </c>
      <c r="F51" s="68" t="s">
        <v>123</v>
      </c>
      <c r="G51" s="68" t="s">
        <v>453</v>
      </c>
      <c r="H51" s="68" t="s">
        <v>124</v>
      </c>
      <c r="I51" s="72"/>
      <c r="J51" s="72">
        <v>12</v>
      </c>
      <c r="K51" s="84">
        <v>0.75</v>
      </c>
      <c r="L51" s="71" t="s">
        <v>342</v>
      </c>
      <c r="M51" s="71" t="s">
        <v>1182</v>
      </c>
      <c r="N51" s="68" t="s">
        <v>80</v>
      </c>
      <c r="O51" s="68"/>
      <c r="P51" s="68" t="s">
        <v>1186</v>
      </c>
      <c r="Q51" s="68" t="s">
        <v>1187</v>
      </c>
      <c r="R51" s="68" t="s">
        <v>1185</v>
      </c>
    </row>
    <row r="52" spans="1:18" ht="41.4" x14ac:dyDescent="0.3">
      <c r="A52" s="70" t="s">
        <v>383</v>
      </c>
      <c r="B52" s="68" t="s">
        <v>95</v>
      </c>
      <c r="C52" s="69" t="str">
        <f>IF(B52="","",IFERROR(INDEX('Parts Master'!$C:$C,MATCH(B52,'Parts Master'!$B:$B,0)),"Part Code not in Parts Master"))</f>
        <v>Baffle</v>
      </c>
      <c r="D52" s="68" t="s">
        <v>79</v>
      </c>
      <c r="E52" s="68">
        <v>30</v>
      </c>
      <c r="F52" s="68" t="s">
        <v>125</v>
      </c>
      <c r="G52" s="68" t="s">
        <v>454</v>
      </c>
      <c r="H52" s="68" t="s">
        <v>127</v>
      </c>
      <c r="I52" s="72"/>
      <c r="J52" s="72">
        <v>22</v>
      </c>
      <c r="K52" s="84">
        <v>0.3</v>
      </c>
      <c r="L52" s="71" t="s">
        <v>342</v>
      </c>
      <c r="M52" s="71" t="s">
        <v>1188</v>
      </c>
      <c r="N52" s="68" t="s">
        <v>80</v>
      </c>
      <c r="O52" s="68"/>
      <c r="P52" s="68" t="s">
        <v>1189</v>
      </c>
      <c r="Q52" s="68" t="s">
        <v>1190</v>
      </c>
      <c r="R52" s="68" t="s">
        <v>1185</v>
      </c>
    </row>
    <row r="53" spans="1:18" ht="41.4" x14ac:dyDescent="0.3">
      <c r="A53" s="70" t="s">
        <v>383</v>
      </c>
      <c r="B53" s="68" t="s">
        <v>95</v>
      </c>
      <c r="C53" s="69" t="str">
        <f>IF(B53="","",IFERROR(INDEX('Parts Master'!$C:$C,MATCH(B53,'Parts Master'!$B:$B,0)),"Part Code not in Parts Master"))</f>
        <v>Baffle</v>
      </c>
      <c r="D53" s="68" t="s">
        <v>79</v>
      </c>
      <c r="E53" s="68">
        <v>40</v>
      </c>
      <c r="F53" s="68" t="s">
        <v>136</v>
      </c>
      <c r="G53" s="68" t="s">
        <v>455</v>
      </c>
      <c r="H53" s="68" t="s">
        <v>137</v>
      </c>
      <c r="I53" s="72"/>
      <c r="J53" s="72">
        <v>22</v>
      </c>
      <c r="K53" s="84">
        <v>0.06</v>
      </c>
      <c r="L53" s="71" t="s">
        <v>342</v>
      </c>
      <c r="M53" s="71" t="s">
        <v>361</v>
      </c>
      <c r="N53" s="68" t="s">
        <v>80</v>
      </c>
      <c r="O53" s="68"/>
      <c r="P53" s="68" t="s">
        <v>1206</v>
      </c>
      <c r="Q53" s="68" t="s">
        <v>1207</v>
      </c>
      <c r="R53" s="68" t="s">
        <v>1185</v>
      </c>
    </row>
    <row r="54" spans="1:18" ht="41.4" x14ac:dyDescent="0.3">
      <c r="A54" s="70" t="s">
        <v>383</v>
      </c>
      <c r="B54" s="68" t="s">
        <v>95</v>
      </c>
      <c r="C54" s="69" t="str">
        <f>IF(B54="","",IFERROR(INDEX('Parts Master'!$C:$C,MATCH(B54,'Parts Master'!$B:$B,0)),"Part Code not in Parts Master"))</f>
        <v>Baffle</v>
      </c>
      <c r="D54" s="68" t="s">
        <v>79</v>
      </c>
      <c r="E54" s="68">
        <v>50</v>
      </c>
      <c r="F54" s="68" t="s">
        <v>139</v>
      </c>
      <c r="G54" s="68" t="s">
        <v>456</v>
      </c>
      <c r="H54" s="68" t="s">
        <v>127</v>
      </c>
      <c r="I54" s="72"/>
      <c r="J54" s="72">
        <v>22</v>
      </c>
      <c r="K54" s="84">
        <v>12</v>
      </c>
      <c r="L54" s="71" t="s">
        <v>342</v>
      </c>
      <c r="M54" s="71" t="s">
        <v>343</v>
      </c>
      <c r="N54" s="68" t="s">
        <v>104</v>
      </c>
      <c r="O54" s="68" t="s">
        <v>457</v>
      </c>
      <c r="P54" s="68" t="s">
        <v>1202</v>
      </c>
      <c r="Q54" s="68" t="s">
        <v>1203</v>
      </c>
      <c r="R54" s="68" t="s">
        <v>1185</v>
      </c>
    </row>
    <row r="55" spans="1:18" ht="41.4" x14ac:dyDescent="0.3">
      <c r="A55" s="70" t="s">
        <v>383</v>
      </c>
      <c r="B55" s="68" t="s">
        <v>95</v>
      </c>
      <c r="C55" s="69" t="str">
        <f>IF(B55="","",IFERROR(INDEX('Parts Master'!$C:$C,MATCH(B55,'Parts Master'!$B:$B,0)),"Part Code not in Parts Master"))</f>
        <v>Baffle</v>
      </c>
      <c r="D55" s="68" t="s">
        <v>79</v>
      </c>
      <c r="E55" s="68">
        <v>60</v>
      </c>
      <c r="F55" s="68" t="s">
        <v>135</v>
      </c>
      <c r="G55" s="68" t="s">
        <v>458</v>
      </c>
      <c r="H55" s="68" t="s">
        <v>124</v>
      </c>
      <c r="I55" s="72"/>
      <c r="J55" s="72">
        <v>22</v>
      </c>
      <c r="K55" s="84">
        <v>0.75</v>
      </c>
      <c r="L55" s="71" t="s">
        <v>342</v>
      </c>
      <c r="M55" s="71" t="s">
        <v>343</v>
      </c>
      <c r="N55" s="68" t="s">
        <v>80</v>
      </c>
      <c r="O55" s="68"/>
      <c r="P55" s="68" t="s">
        <v>1200</v>
      </c>
      <c r="Q55" s="68" t="s">
        <v>1201</v>
      </c>
      <c r="R55" s="68" t="s">
        <v>1185</v>
      </c>
    </row>
    <row r="56" spans="1:18" ht="41.4" x14ac:dyDescent="0.3">
      <c r="A56" s="70" t="s">
        <v>383</v>
      </c>
      <c r="B56" s="68" t="s">
        <v>394</v>
      </c>
      <c r="C56" s="69" t="str">
        <f>IF(B56="","",IFERROR(INDEX('Parts Master'!$C:$C,MATCH(B56,'Parts Master'!$B:$B,0)),"Part Code not in Parts Master"))</f>
        <v>Saddle</v>
      </c>
      <c r="D56" s="68" t="s">
        <v>79</v>
      </c>
      <c r="E56" s="68">
        <v>10</v>
      </c>
      <c r="F56" s="68" t="s">
        <v>121</v>
      </c>
      <c r="G56" s="68" t="s">
        <v>459</v>
      </c>
      <c r="H56" s="68" t="s">
        <v>122</v>
      </c>
      <c r="I56" s="72">
        <v>10</v>
      </c>
      <c r="J56" s="72">
        <v>11</v>
      </c>
      <c r="K56" s="84">
        <v>0.5</v>
      </c>
      <c r="L56" s="71" t="s">
        <v>342</v>
      </c>
      <c r="M56" s="71" t="s">
        <v>1182</v>
      </c>
      <c r="N56" s="68" t="s">
        <v>80</v>
      </c>
      <c r="O56" s="68"/>
      <c r="P56" s="68" t="s">
        <v>1183</v>
      </c>
      <c r="Q56" s="68" t="s">
        <v>1184</v>
      </c>
      <c r="R56" s="68" t="s">
        <v>1185</v>
      </c>
    </row>
    <row r="57" spans="1:18" ht="41.4" x14ac:dyDescent="0.3">
      <c r="A57" s="70" t="s">
        <v>383</v>
      </c>
      <c r="B57" s="68" t="s">
        <v>394</v>
      </c>
      <c r="C57" s="69" t="str">
        <f>IF(B57="","",IFERROR(INDEX('Parts Master'!$C:$C,MATCH(B57,'Parts Master'!$B:$B,0)),"Part Code not in Parts Master"))</f>
        <v>Saddle</v>
      </c>
      <c r="D57" s="68" t="s">
        <v>79</v>
      </c>
      <c r="E57" s="68">
        <v>20</v>
      </c>
      <c r="F57" s="68" t="s">
        <v>123</v>
      </c>
      <c r="G57" s="68" t="s">
        <v>453</v>
      </c>
      <c r="H57" s="68" t="s">
        <v>124</v>
      </c>
      <c r="I57" s="72">
        <v>11</v>
      </c>
      <c r="J57" s="72">
        <v>12</v>
      </c>
      <c r="K57" s="84">
        <v>0.75</v>
      </c>
      <c r="L57" s="71" t="s">
        <v>342</v>
      </c>
      <c r="M57" s="71" t="s">
        <v>1182</v>
      </c>
      <c r="N57" s="68" t="s">
        <v>80</v>
      </c>
      <c r="O57" s="68"/>
      <c r="P57" s="68" t="s">
        <v>1186</v>
      </c>
      <c r="Q57" s="68" t="s">
        <v>1187</v>
      </c>
      <c r="R57" s="68" t="s">
        <v>1185</v>
      </c>
    </row>
    <row r="58" spans="1:18" ht="41.4" x14ac:dyDescent="0.3">
      <c r="A58" s="70" t="s">
        <v>383</v>
      </c>
      <c r="B58" s="68" t="s">
        <v>394</v>
      </c>
      <c r="C58" s="69" t="str">
        <f>IF(B58="","",IFERROR(INDEX('Parts Master'!$C:$C,MATCH(B58,'Parts Master'!$B:$B,0)),"Part Code not in Parts Master"))</f>
        <v>Saddle</v>
      </c>
      <c r="D58" s="68" t="s">
        <v>79</v>
      </c>
      <c r="E58" s="68">
        <v>30</v>
      </c>
      <c r="F58" s="68" t="s">
        <v>125</v>
      </c>
      <c r="G58" s="68" t="s">
        <v>460</v>
      </c>
      <c r="H58" s="68" t="s">
        <v>127</v>
      </c>
      <c r="I58" s="72">
        <v>12</v>
      </c>
      <c r="J58" s="72">
        <v>13</v>
      </c>
      <c r="K58" s="84">
        <v>0.3</v>
      </c>
      <c r="L58" s="71" t="s">
        <v>342</v>
      </c>
      <c r="M58" s="71" t="s">
        <v>1188</v>
      </c>
      <c r="N58" s="68" t="s">
        <v>80</v>
      </c>
      <c r="O58" s="68"/>
      <c r="P58" s="68" t="s">
        <v>1189</v>
      </c>
      <c r="Q58" s="68" t="s">
        <v>1190</v>
      </c>
      <c r="R58" s="68" t="s">
        <v>1185</v>
      </c>
    </row>
    <row r="59" spans="1:18" ht="41.4" x14ac:dyDescent="0.3">
      <c r="A59" s="70" t="s">
        <v>383</v>
      </c>
      <c r="B59" s="68" t="s">
        <v>394</v>
      </c>
      <c r="C59" s="69" t="str">
        <f>IF(B59="","",IFERROR(INDEX('Parts Master'!$C:$C,MATCH(B59,'Parts Master'!$B:$B,0)),"Part Code not in Parts Master"))</f>
        <v>Saddle</v>
      </c>
      <c r="D59" s="68" t="s">
        <v>79</v>
      </c>
      <c r="E59" s="68">
        <v>40</v>
      </c>
      <c r="F59" s="68" t="s">
        <v>129</v>
      </c>
      <c r="G59" s="68" t="s">
        <v>461</v>
      </c>
      <c r="H59" s="68" t="s">
        <v>127</v>
      </c>
      <c r="I59" s="72">
        <v>13</v>
      </c>
      <c r="J59" s="72">
        <v>27</v>
      </c>
      <c r="K59" s="84">
        <v>4</v>
      </c>
      <c r="L59" s="71" t="s">
        <v>342</v>
      </c>
      <c r="M59" s="71" t="s">
        <v>343</v>
      </c>
      <c r="N59" s="68" t="s">
        <v>80</v>
      </c>
      <c r="O59" s="68"/>
      <c r="P59" s="68" t="s">
        <v>1194</v>
      </c>
      <c r="Q59" s="68" t="s">
        <v>1195</v>
      </c>
      <c r="R59" s="68" t="s">
        <v>1185</v>
      </c>
    </row>
    <row r="60" spans="1:18" ht="41.4" x14ac:dyDescent="0.3">
      <c r="A60" s="70" t="s">
        <v>383</v>
      </c>
      <c r="B60" s="68" t="s">
        <v>394</v>
      </c>
      <c r="C60" s="69" t="str">
        <f>IF(B60="","",IFERROR(INDEX('Parts Master'!$C:$C,MATCH(B60,'Parts Master'!$B:$B,0)),"Part Code not in Parts Master"))</f>
        <v>Saddle</v>
      </c>
      <c r="D60" s="68" t="s">
        <v>79</v>
      </c>
      <c r="E60" s="68">
        <v>50</v>
      </c>
      <c r="F60" s="68" t="s">
        <v>139</v>
      </c>
      <c r="G60" s="68" t="s">
        <v>462</v>
      </c>
      <c r="H60" s="68" t="s">
        <v>127</v>
      </c>
      <c r="I60" s="72">
        <v>13</v>
      </c>
      <c r="J60" s="72">
        <v>27</v>
      </c>
      <c r="K60" s="84">
        <v>12</v>
      </c>
      <c r="L60" s="71" t="s">
        <v>342</v>
      </c>
      <c r="M60" s="71" t="s">
        <v>343</v>
      </c>
      <c r="N60" s="68" t="s">
        <v>104</v>
      </c>
      <c r="O60" s="68" t="s">
        <v>463</v>
      </c>
      <c r="P60" s="68" t="s">
        <v>1202</v>
      </c>
      <c r="Q60" s="68" t="s">
        <v>1203</v>
      </c>
      <c r="R60" s="68" t="s">
        <v>1185</v>
      </c>
    </row>
    <row r="61" spans="1:18" ht="41.4" x14ac:dyDescent="0.3">
      <c r="A61" s="70" t="s">
        <v>383</v>
      </c>
      <c r="B61" s="68" t="s">
        <v>394</v>
      </c>
      <c r="C61" s="69" t="str">
        <f>IF(B61="","",IFERROR(INDEX('Parts Master'!$C:$C,MATCH(B61,'Parts Master'!$B:$B,0)),"Part Code not in Parts Master"))</f>
        <v>Saddle</v>
      </c>
      <c r="D61" s="68" t="s">
        <v>79</v>
      </c>
      <c r="E61" s="68">
        <v>60</v>
      </c>
      <c r="F61" s="68" t="s">
        <v>130</v>
      </c>
      <c r="G61" s="68" t="s">
        <v>464</v>
      </c>
      <c r="H61" s="68" t="s">
        <v>131</v>
      </c>
      <c r="I61" s="72">
        <v>19</v>
      </c>
      <c r="J61" s="72">
        <v>27</v>
      </c>
      <c r="K61" s="84">
        <v>1.5</v>
      </c>
      <c r="L61" s="71" t="s">
        <v>342</v>
      </c>
      <c r="M61" s="71" t="s">
        <v>357</v>
      </c>
      <c r="N61" s="68" t="s">
        <v>80</v>
      </c>
      <c r="O61" s="68"/>
      <c r="P61" s="68" t="s">
        <v>1196</v>
      </c>
      <c r="Q61" s="68" t="s">
        <v>132</v>
      </c>
      <c r="R61" s="68" t="s">
        <v>1185</v>
      </c>
    </row>
    <row r="62" spans="1:18" ht="41.4" x14ac:dyDescent="0.3">
      <c r="A62" s="70" t="s">
        <v>383</v>
      </c>
      <c r="B62" s="68" t="s">
        <v>394</v>
      </c>
      <c r="C62" s="69" t="str">
        <f>IF(B62="","",IFERROR(INDEX('Parts Master'!$C:$C,MATCH(B62,'Parts Master'!$B:$B,0)),"Part Code not in Parts Master"))</f>
        <v>Saddle</v>
      </c>
      <c r="D62" s="68" t="s">
        <v>79</v>
      </c>
      <c r="E62" s="68">
        <v>70</v>
      </c>
      <c r="F62" s="68" t="s">
        <v>133</v>
      </c>
      <c r="G62" s="68" t="s">
        <v>465</v>
      </c>
      <c r="H62" s="68" t="s">
        <v>131</v>
      </c>
      <c r="I62" s="72">
        <v>20</v>
      </c>
      <c r="J62" s="72">
        <v>27</v>
      </c>
      <c r="K62" s="84">
        <v>1.2</v>
      </c>
      <c r="L62" s="71" t="s">
        <v>342</v>
      </c>
      <c r="M62" s="71" t="s">
        <v>351</v>
      </c>
      <c r="N62" s="68" t="s">
        <v>80</v>
      </c>
      <c r="O62" s="68"/>
      <c r="P62" s="68" t="s">
        <v>1197</v>
      </c>
      <c r="Q62" s="68" t="s">
        <v>1198</v>
      </c>
      <c r="R62" s="68" t="s">
        <v>1185</v>
      </c>
    </row>
    <row r="63" spans="1:18" ht="41.4" x14ac:dyDescent="0.3">
      <c r="A63" s="70" t="s">
        <v>383</v>
      </c>
      <c r="B63" s="68" t="s">
        <v>394</v>
      </c>
      <c r="C63" s="69" t="str">
        <f>IF(B63="","",IFERROR(INDEX('Parts Master'!$C:$C,MATCH(B63,'Parts Master'!$B:$B,0)),"Part Code not in Parts Master"))</f>
        <v>Saddle</v>
      </c>
      <c r="D63" s="68" t="s">
        <v>79</v>
      </c>
      <c r="E63" s="68">
        <v>80</v>
      </c>
      <c r="F63" s="68" t="s">
        <v>136</v>
      </c>
      <c r="G63" s="68" t="s">
        <v>466</v>
      </c>
      <c r="H63" s="68" t="s">
        <v>137</v>
      </c>
      <c r="I63" s="72">
        <v>14</v>
      </c>
      <c r="J63" s="72">
        <v>27</v>
      </c>
      <c r="K63" s="84">
        <v>2</v>
      </c>
      <c r="L63" s="71" t="s">
        <v>342</v>
      </c>
      <c r="M63" s="71" t="s">
        <v>343</v>
      </c>
      <c r="N63" s="68" t="s">
        <v>104</v>
      </c>
      <c r="O63" s="68" t="s">
        <v>467</v>
      </c>
      <c r="P63" s="68" t="s">
        <v>1206</v>
      </c>
      <c r="Q63" s="68" t="s">
        <v>1207</v>
      </c>
      <c r="R63" s="68" t="s">
        <v>1185</v>
      </c>
    </row>
    <row r="64" spans="1:18" ht="41.4" x14ac:dyDescent="0.3">
      <c r="A64" s="70" t="s">
        <v>383</v>
      </c>
      <c r="B64" s="68" t="s">
        <v>394</v>
      </c>
      <c r="C64" s="69" t="str">
        <f>IF(B64="","",IFERROR(INDEX('Parts Master'!$C:$C,MATCH(B64,'Parts Master'!$B:$B,0)),"Part Code not in Parts Master"))</f>
        <v>Saddle</v>
      </c>
      <c r="D64" s="68" t="s">
        <v>79</v>
      </c>
      <c r="E64" s="68">
        <v>90</v>
      </c>
      <c r="F64" s="68" t="s">
        <v>134</v>
      </c>
      <c r="G64" s="68" t="s">
        <v>468</v>
      </c>
      <c r="H64" s="68" t="s">
        <v>124</v>
      </c>
      <c r="I64" s="72">
        <v>17</v>
      </c>
      <c r="J64" s="72">
        <v>28</v>
      </c>
      <c r="K64" s="84">
        <v>1</v>
      </c>
      <c r="L64" s="71" t="s">
        <v>342</v>
      </c>
      <c r="M64" s="71" t="s">
        <v>357</v>
      </c>
      <c r="N64" s="68" t="s">
        <v>104</v>
      </c>
      <c r="O64" s="68" t="s">
        <v>469</v>
      </c>
      <c r="P64" s="68" t="s">
        <v>1199</v>
      </c>
      <c r="Q64" s="68" t="s">
        <v>407</v>
      </c>
      <c r="R64" s="68" t="s">
        <v>1185</v>
      </c>
    </row>
    <row r="65" spans="1:18" ht="41.4" x14ac:dyDescent="0.3">
      <c r="A65" s="70" t="s">
        <v>383</v>
      </c>
      <c r="B65" s="68" t="s">
        <v>394</v>
      </c>
      <c r="C65" s="69" t="str">
        <f>IF(B65="","",IFERROR(INDEX('Parts Master'!$C:$C,MATCH(B65,'Parts Master'!$B:$B,0)),"Part Code not in Parts Master"))</f>
        <v>Saddle</v>
      </c>
      <c r="D65" s="68" t="s">
        <v>79</v>
      </c>
      <c r="E65" s="68">
        <v>100</v>
      </c>
      <c r="F65" s="68" t="s">
        <v>135</v>
      </c>
      <c r="G65" s="68" t="s">
        <v>470</v>
      </c>
      <c r="H65" s="68" t="s">
        <v>124</v>
      </c>
      <c r="I65" s="72">
        <v>21</v>
      </c>
      <c r="J65" s="72">
        <v>27</v>
      </c>
      <c r="K65" s="84">
        <v>0.75</v>
      </c>
      <c r="L65" s="71" t="s">
        <v>342</v>
      </c>
      <c r="M65" s="71" t="s">
        <v>343</v>
      </c>
      <c r="N65" s="68" t="s">
        <v>80</v>
      </c>
      <c r="O65" s="68"/>
      <c r="P65" s="68" t="s">
        <v>1200</v>
      </c>
      <c r="Q65" s="68" t="s">
        <v>1201</v>
      </c>
      <c r="R65" s="68" t="s">
        <v>1185</v>
      </c>
    </row>
    <row r="66" spans="1:18" ht="41.4" x14ac:dyDescent="0.3">
      <c r="A66" s="70" t="s">
        <v>383</v>
      </c>
      <c r="B66" s="68" t="s">
        <v>98</v>
      </c>
      <c r="C66" s="69" t="str">
        <f>IF(B66="","",IFERROR(INDEX('Parts Master'!$C:$C,MATCH(B66,'Parts Master'!$B:$B,0)),"Part Code not in Parts Master"))</f>
        <v>Stud with Two Nuts</v>
      </c>
      <c r="D66" s="68" t="s">
        <v>79</v>
      </c>
      <c r="E66" s="68">
        <v>10</v>
      </c>
      <c r="F66" s="68" t="s">
        <v>121</v>
      </c>
      <c r="G66" s="68" t="s">
        <v>471</v>
      </c>
      <c r="H66" s="68" t="s">
        <v>122</v>
      </c>
      <c r="I66" s="72">
        <v>10</v>
      </c>
      <c r="J66" s="72">
        <v>11</v>
      </c>
      <c r="K66" s="84">
        <v>0.5</v>
      </c>
      <c r="L66" s="71" t="s">
        <v>342</v>
      </c>
      <c r="M66" s="71" t="s">
        <v>1182</v>
      </c>
      <c r="N66" s="68" t="s">
        <v>80</v>
      </c>
      <c r="O66" s="68"/>
      <c r="P66" s="68" t="s">
        <v>1183</v>
      </c>
      <c r="Q66" s="68" t="s">
        <v>1184</v>
      </c>
      <c r="R66" s="68" t="s">
        <v>1185</v>
      </c>
    </row>
    <row r="67" spans="1:18" ht="41.4" x14ac:dyDescent="0.3">
      <c r="A67" s="70" t="s">
        <v>383</v>
      </c>
      <c r="B67" s="68" t="s">
        <v>98</v>
      </c>
      <c r="C67" s="69" t="str">
        <f>IF(B67="","",IFERROR(INDEX('Parts Master'!$C:$C,MATCH(B67,'Parts Master'!$B:$B,0)),"Part Code not in Parts Master"))</f>
        <v>Stud with Two Nuts</v>
      </c>
      <c r="D67" s="68" t="s">
        <v>79</v>
      </c>
      <c r="E67" s="68">
        <v>20</v>
      </c>
      <c r="F67" s="68" t="s">
        <v>123</v>
      </c>
      <c r="G67" s="68" t="s">
        <v>472</v>
      </c>
      <c r="H67" s="68" t="s">
        <v>124</v>
      </c>
      <c r="I67" s="72">
        <v>11</v>
      </c>
      <c r="J67" s="72">
        <v>12</v>
      </c>
      <c r="K67" s="84">
        <v>0.75</v>
      </c>
      <c r="L67" s="71" t="s">
        <v>342</v>
      </c>
      <c r="M67" s="71" t="s">
        <v>1182</v>
      </c>
      <c r="N67" s="68" t="s">
        <v>80</v>
      </c>
      <c r="O67" s="68"/>
      <c r="P67" s="68" t="s">
        <v>1186</v>
      </c>
      <c r="Q67" s="68" t="s">
        <v>1187</v>
      </c>
      <c r="R67" s="68" t="s">
        <v>1185</v>
      </c>
    </row>
    <row r="68" spans="1:18" ht="41.4" x14ac:dyDescent="0.3">
      <c r="A68" s="70" t="s">
        <v>383</v>
      </c>
      <c r="B68" s="68" t="s">
        <v>98</v>
      </c>
      <c r="C68" s="69" t="str">
        <f>IF(B68="","",IFERROR(INDEX('Parts Master'!$C:$C,MATCH(B68,'Parts Master'!$B:$B,0)),"Part Code not in Parts Master"))</f>
        <v>Stud with Two Nuts</v>
      </c>
      <c r="D68" s="68" t="s">
        <v>79</v>
      </c>
      <c r="E68" s="68">
        <v>30</v>
      </c>
      <c r="F68" s="68" t="s">
        <v>135</v>
      </c>
      <c r="G68" s="68" t="s">
        <v>473</v>
      </c>
      <c r="H68" s="68" t="s">
        <v>124</v>
      </c>
      <c r="I68" s="72">
        <v>21</v>
      </c>
      <c r="J68" s="72">
        <v>11</v>
      </c>
      <c r="K68" s="84">
        <v>0.08</v>
      </c>
      <c r="L68" s="71" t="s">
        <v>342</v>
      </c>
      <c r="M68" s="71" t="s">
        <v>343</v>
      </c>
      <c r="N68" s="68" t="s">
        <v>80</v>
      </c>
      <c r="O68" s="68"/>
      <c r="P68" s="68" t="s">
        <v>1200</v>
      </c>
      <c r="Q68" s="68" t="s">
        <v>1201</v>
      </c>
      <c r="R68" s="68" t="s">
        <v>1185</v>
      </c>
    </row>
    <row r="69" spans="1:18" ht="41.4" x14ac:dyDescent="0.3">
      <c r="A69" s="70" t="s">
        <v>383</v>
      </c>
      <c r="B69" s="68" t="s">
        <v>396</v>
      </c>
      <c r="C69" s="69" t="str">
        <f>IF(B69="","",IFERROR(INDEX('Parts Master'!$C:$C,MATCH(B69,'Parts Master'!$B:$B,0)),"Part Code not in Parts Master"))</f>
        <v>Gasket</v>
      </c>
      <c r="D69" s="68" t="s">
        <v>79</v>
      </c>
      <c r="E69" s="68">
        <v>10</v>
      </c>
      <c r="F69" s="68" t="s">
        <v>121</v>
      </c>
      <c r="G69" s="68" t="s">
        <v>474</v>
      </c>
      <c r="H69" s="68" t="s">
        <v>122</v>
      </c>
      <c r="I69" s="72">
        <v>10</v>
      </c>
      <c r="J69" s="72">
        <v>11</v>
      </c>
      <c r="K69" s="84">
        <v>0.5</v>
      </c>
      <c r="L69" s="71" t="s">
        <v>342</v>
      </c>
      <c r="M69" s="71" t="s">
        <v>1182</v>
      </c>
      <c r="N69" s="68" t="s">
        <v>80</v>
      </c>
      <c r="O69" s="68"/>
      <c r="P69" s="68" t="s">
        <v>1183</v>
      </c>
      <c r="Q69" s="68" t="s">
        <v>1184</v>
      </c>
      <c r="R69" s="68" t="s">
        <v>1185</v>
      </c>
    </row>
    <row r="70" spans="1:18" ht="41.4" x14ac:dyDescent="0.3">
      <c r="A70" s="70" t="s">
        <v>383</v>
      </c>
      <c r="B70" s="68" t="s">
        <v>396</v>
      </c>
      <c r="C70" s="69" t="str">
        <f>IF(B70="","",IFERROR(INDEX('Parts Master'!$C:$C,MATCH(B70,'Parts Master'!$B:$B,0)),"Part Code not in Parts Master"))</f>
        <v>Gasket</v>
      </c>
      <c r="D70" s="68" t="s">
        <v>79</v>
      </c>
      <c r="E70" s="68">
        <v>20</v>
      </c>
      <c r="F70" s="68" t="s">
        <v>123</v>
      </c>
      <c r="G70" s="68" t="s">
        <v>475</v>
      </c>
      <c r="H70" s="68" t="s">
        <v>124</v>
      </c>
      <c r="I70" s="72">
        <v>11</v>
      </c>
      <c r="J70" s="72">
        <v>12</v>
      </c>
      <c r="K70" s="84">
        <v>0.75</v>
      </c>
      <c r="L70" s="71" t="s">
        <v>342</v>
      </c>
      <c r="M70" s="71" t="s">
        <v>1182</v>
      </c>
      <c r="N70" s="68" t="s">
        <v>80</v>
      </c>
      <c r="O70" s="68"/>
      <c r="P70" s="68" t="s">
        <v>1186</v>
      </c>
      <c r="Q70" s="68" t="s">
        <v>1187</v>
      </c>
      <c r="R70" s="68" t="s">
        <v>1185</v>
      </c>
    </row>
    <row r="71" spans="1:18" ht="41.4" x14ac:dyDescent="0.3">
      <c r="A71" s="75" t="s">
        <v>383</v>
      </c>
      <c r="B71" s="73" t="s">
        <v>396</v>
      </c>
      <c r="C71" s="74" t="str">
        <f>IF(B71="","",IFERROR(INDEX('Parts Master'!$C:$C,MATCH(B71,'Parts Master'!$B:$B,0)),"Part Code not in Parts Master"))</f>
        <v>Gasket</v>
      </c>
      <c r="D71" s="73" t="s">
        <v>79</v>
      </c>
      <c r="E71" s="73">
        <v>30</v>
      </c>
      <c r="F71" s="73" t="s">
        <v>135</v>
      </c>
      <c r="G71" s="73" t="s">
        <v>476</v>
      </c>
      <c r="H71" s="73" t="s">
        <v>124</v>
      </c>
      <c r="I71" s="77">
        <v>21</v>
      </c>
      <c r="J71" s="77">
        <v>11</v>
      </c>
      <c r="K71" s="85">
        <v>0.15</v>
      </c>
      <c r="L71" s="76" t="s">
        <v>342</v>
      </c>
      <c r="M71" s="76" t="s">
        <v>343</v>
      </c>
      <c r="N71" s="73" t="s">
        <v>80</v>
      </c>
      <c r="O71" s="73"/>
      <c r="P71" s="73" t="s">
        <v>1200</v>
      </c>
      <c r="Q71" s="73" t="s">
        <v>1201</v>
      </c>
      <c r="R71" s="73" t="s">
        <v>1185</v>
      </c>
    </row>
    <row r="72" spans="1:18" ht="41.4" x14ac:dyDescent="0.3">
      <c r="A72" s="79" t="s">
        <v>782</v>
      </c>
      <c r="B72" s="39" t="s">
        <v>385</v>
      </c>
      <c r="C72" s="78" t="str">
        <f>IF(B72="","",IFERROR(INDEX('Parts Master'!$C:$C,MATCH(B72,'Parts Master'!$B:$B,0)),"Part Code not in Parts Master"))</f>
        <v>Dished End</v>
      </c>
      <c r="D72" s="39" t="s">
        <v>783</v>
      </c>
      <c r="E72" s="39">
        <v>10</v>
      </c>
      <c r="F72" s="39" t="s">
        <v>123</v>
      </c>
      <c r="G72" s="39" t="s">
        <v>784</v>
      </c>
      <c r="H72" s="39" t="s">
        <v>124</v>
      </c>
      <c r="I72" s="81">
        <v>11</v>
      </c>
      <c r="J72" s="81">
        <v>12</v>
      </c>
      <c r="K72" s="86">
        <v>0.75</v>
      </c>
      <c r="L72" s="80" t="s">
        <v>342</v>
      </c>
      <c r="M72" s="80" t="s">
        <v>1182</v>
      </c>
      <c r="N72" s="39" t="s">
        <v>80</v>
      </c>
      <c r="O72" s="39"/>
      <c r="P72" s="39" t="s">
        <v>1186</v>
      </c>
      <c r="Q72" s="39" t="s">
        <v>1187</v>
      </c>
      <c r="R72" s="39" t="s">
        <v>1185</v>
      </c>
    </row>
    <row r="73" spans="1:18" ht="41.4" x14ac:dyDescent="0.3">
      <c r="A73" s="79" t="s">
        <v>782</v>
      </c>
      <c r="B73" s="39" t="s">
        <v>385</v>
      </c>
      <c r="C73" s="78" t="str">
        <f>IF(B73="","",IFERROR(INDEX('Parts Master'!$C:$C,MATCH(B73,'Parts Master'!$B:$B,0)),"Part Code not in Parts Master"))</f>
        <v>Dished End</v>
      </c>
      <c r="D73" s="39" t="s">
        <v>783</v>
      </c>
      <c r="E73" s="39">
        <v>20</v>
      </c>
      <c r="F73" s="39" t="s">
        <v>125</v>
      </c>
      <c r="G73" s="39" t="s">
        <v>786</v>
      </c>
      <c r="H73" s="39" t="s">
        <v>127</v>
      </c>
      <c r="I73" s="81">
        <v>12</v>
      </c>
      <c r="J73" s="81">
        <v>13</v>
      </c>
      <c r="K73" s="86">
        <v>0.3</v>
      </c>
      <c r="L73" s="80" t="s">
        <v>342</v>
      </c>
      <c r="M73" s="80" t="s">
        <v>1188</v>
      </c>
      <c r="N73" s="39" t="s">
        <v>80</v>
      </c>
      <c r="O73" s="39"/>
      <c r="P73" s="39" t="s">
        <v>1189</v>
      </c>
      <c r="Q73" s="39" t="s">
        <v>1190</v>
      </c>
      <c r="R73" s="39" t="s">
        <v>1185</v>
      </c>
    </row>
    <row r="74" spans="1:18" ht="41.4" x14ac:dyDescent="0.3">
      <c r="A74" s="79" t="s">
        <v>782</v>
      </c>
      <c r="B74" s="39" t="s">
        <v>385</v>
      </c>
      <c r="C74" s="78" t="str">
        <f>IF(B74="","",IFERROR(INDEX('Parts Master'!$C:$C,MATCH(B74,'Parts Master'!$B:$B,0)),"Part Code not in Parts Master"))</f>
        <v>Dished End</v>
      </c>
      <c r="D74" s="39" t="s">
        <v>783</v>
      </c>
      <c r="E74" s="39">
        <v>30</v>
      </c>
      <c r="F74" s="39" t="s">
        <v>139</v>
      </c>
      <c r="G74" s="39" t="s">
        <v>787</v>
      </c>
      <c r="H74" s="39" t="s">
        <v>127</v>
      </c>
      <c r="I74" s="81">
        <v>13</v>
      </c>
      <c r="J74" s="81">
        <v>17</v>
      </c>
      <c r="K74" s="86">
        <v>16</v>
      </c>
      <c r="L74" s="80" t="s">
        <v>342</v>
      </c>
      <c r="M74" s="80" t="s">
        <v>343</v>
      </c>
      <c r="N74" s="39" t="s">
        <v>80</v>
      </c>
      <c r="O74" s="39"/>
      <c r="P74" s="39" t="s">
        <v>1202</v>
      </c>
      <c r="Q74" s="39" t="s">
        <v>1203</v>
      </c>
      <c r="R74" s="39" t="s">
        <v>1185</v>
      </c>
    </row>
    <row r="75" spans="1:18" ht="41.4" x14ac:dyDescent="0.3">
      <c r="A75" s="79" t="s">
        <v>782</v>
      </c>
      <c r="B75" s="39" t="s">
        <v>385</v>
      </c>
      <c r="C75" s="78" t="str">
        <f>IF(B75="","",IFERROR(INDEX('Parts Master'!$C:$C,MATCH(B75,'Parts Master'!$B:$B,0)),"Part Code not in Parts Master"))</f>
        <v>Dished End</v>
      </c>
      <c r="D75" s="39" t="s">
        <v>783</v>
      </c>
      <c r="E75" s="39">
        <v>40</v>
      </c>
      <c r="F75" s="39" t="s">
        <v>134</v>
      </c>
      <c r="G75" s="39" t="s">
        <v>788</v>
      </c>
      <c r="H75" s="39" t="s">
        <v>124</v>
      </c>
      <c r="I75" s="81">
        <v>17</v>
      </c>
      <c r="J75" s="81">
        <v>17</v>
      </c>
      <c r="K75" s="86">
        <v>1</v>
      </c>
      <c r="L75" s="80" t="s">
        <v>342</v>
      </c>
      <c r="M75" s="80" t="s">
        <v>357</v>
      </c>
      <c r="N75" s="39" t="s">
        <v>80</v>
      </c>
      <c r="O75" s="39"/>
      <c r="P75" s="39" t="s">
        <v>1199</v>
      </c>
      <c r="Q75" s="39" t="s">
        <v>407</v>
      </c>
      <c r="R75" s="39" t="s">
        <v>1185</v>
      </c>
    </row>
    <row r="76" spans="1:18" ht="41.4" x14ac:dyDescent="0.3">
      <c r="A76" s="79" t="s">
        <v>782</v>
      </c>
      <c r="B76" s="39" t="s">
        <v>385</v>
      </c>
      <c r="C76" s="78" t="str">
        <f>IF(B76="","",IFERROR(INDEX('Parts Master'!$C:$C,MATCH(B76,'Parts Master'!$B:$B,0)),"Part Code not in Parts Master"))</f>
        <v>Dished End</v>
      </c>
      <c r="D76" s="39" t="s">
        <v>783</v>
      </c>
      <c r="E76" s="39">
        <v>50</v>
      </c>
      <c r="F76" s="39" t="s">
        <v>135</v>
      </c>
      <c r="G76" s="39" t="s">
        <v>789</v>
      </c>
      <c r="H76" s="39" t="s">
        <v>124</v>
      </c>
      <c r="I76" s="81">
        <v>18</v>
      </c>
      <c r="J76" s="81">
        <v>17</v>
      </c>
      <c r="K76" s="86">
        <v>0.75</v>
      </c>
      <c r="L76" s="80" t="s">
        <v>342</v>
      </c>
      <c r="M76" s="80" t="s">
        <v>343</v>
      </c>
      <c r="N76" s="39" t="s">
        <v>80</v>
      </c>
      <c r="O76" s="39"/>
      <c r="P76" s="39" t="s">
        <v>1200</v>
      </c>
      <c r="Q76" s="39" t="s">
        <v>1201</v>
      </c>
      <c r="R76" s="39" t="s">
        <v>1185</v>
      </c>
    </row>
    <row r="77" spans="1:18" ht="41.4" x14ac:dyDescent="0.3">
      <c r="A77" s="79" t="s">
        <v>782</v>
      </c>
      <c r="B77" s="39" t="s">
        <v>385</v>
      </c>
      <c r="C77" s="78" t="str">
        <f>IF(B77="","",IFERROR(INDEX('Parts Master'!$C:$C,MATCH(B77,'Parts Master'!$B:$B,0)),"Part Code not in Parts Master"))</f>
        <v>Dished End</v>
      </c>
      <c r="D77" s="39" t="s">
        <v>783</v>
      </c>
      <c r="E77" s="39">
        <v>60</v>
      </c>
      <c r="F77" s="39" t="s">
        <v>135</v>
      </c>
      <c r="G77" s="39" t="s">
        <v>790</v>
      </c>
      <c r="H77" s="39" t="s">
        <v>124</v>
      </c>
      <c r="I77" s="81">
        <v>18</v>
      </c>
      <c r="J77" s="81">
        <v>17</v>
      </c>
      <c r="K77" s="86">
        <v>0.75</v>
      </c>
      <c r="L77" s="80" t="s">
        <v>342</v>
      </c>
      <c r="M77" s="80" t="s">
        <v>343</v>
      </c>
      <c r="N77" s="39" t="s">
        <v>80</v>
      </c>
      <c r="O77" s="39"/>
      <c r="P77" s="39" t="s">
        <v>1200</v>
      </c>
      <c r="Q77" s="39" t="s">
        <v>1201</v>
      </c>
      <c r="R77" s="39" t="s">
        <v>1185</v>
      </c>
    </row>
    <row r="78" spans="1:18" ht="41.4" x14ac:dyDescent="0.3">
      <c r="A78" s="36" t="s">
        <v>782</v>
      </c>
      <c r="B78" s="24" t="s">
        <v>697</v>
      </c>
      <c r="C78" s="30" t="str">
        <f>IF(B78="","",IFERROR(INDEX('Parts Master'!$C:$C,MATCH(B78,'Parts Master'!$B:$B,0)),"Part Code not in Parts Master"))</f>
        <v>Tube Sheet (Fabricated Plate)</v>
      </c>
      <c r="D78" s="24" t="s">
        <v>79</v>
      </c>
      <c r="E78" s="24">
        <v>10</v>
      </c>
      <c r="F78" s="24" t="s">
        <v>130</v>
      </c>
      <c r="G78" s="24" t="s">
        <v>791</v>
      </c>
      <c r="H78" s="39"/>
      <c r="I78" s="39"/>
      <c r="J78" s="39"/>
      <c r="K78" s="87"/>
      <c r="L78" s="39"/>
      <c r="M78" s="39"/>
      <c r="N78" s="24" t="s">
        <v>80</v>
      </c>
      <c r="O78" s="24"/>
      <c r="P78" s="24" t="s">
        <v>792</v>
      </c>
      <c r="Q78" s="24" t="s">
        <v>132</v>
      </c>
      <c r="R78" s="24" t="s">
        <v>785</v>
      </c>
    </row>
    <row r="79" spans="1:18" ht="41.4" x14ac:dyDescent="0.3">
      <c r="A79" s="36" t="s">
        <v>782</v>
      </c>
      <c r="B79" s="24" t="s">
        <v>697</v>
      </c>
      <c r="C79" s="30" t="str">
        <f>IF(B79="","",IFERROR(INDEX('Parts Master'!$C:$C,MATCH(B79,'Parts Master'!$B:$B,0)),"Part Code not in Parts Master"))</f>
        <v>Tube Sheet (Fabricated Plate)</v>
      </c>
      <c r="D79" s="24" t="s">
        <v>79</v>
      </c>
      <c r="E79" s="24">
        <v>20</v>
      </c>
      <c r="F79" s="24" t="s">
        <v>133</v>
      </c>
      <c r="G79" s="24" t="s">
        <v>793</v>
      </c>
      <c r="H79" s="39"/>
      <c r="I79" s="39"/>
      <c r="J79" s="39"/>
      <c r="K79" s="87"/>
      <c r="L79" s="39"/>
      <c r="M79" s="39"/>
      <c r="N79" s="24" t="s">
        <v>80</v>
      </c>
      <c r="O79" s="24"/>
      <c r="P79" s="24" t="s">
        <v>794</v>
      </c>
      <c r="Q79" s="24" t="s">
        <v>404</v>
      </c>
      <c r="R79" s="24" t="s">
        <v>785</v>
      </c>
    </row>
    <row r="80" spans="1:18" ht="41.4" x14ac:dyDescent="0.3">
      <c r="A80" s="36" t="s">
        <v>782</v>
      </c>
      <c r="B80" s="24" t="s">
        <v>697</v>
      </c>
      <c r="C80" s="30" t="str">
        <f>IF(B80="","",IFERROR(INDEX('Parts Master'!$C:$C,MATCH(B80,'Parts Master'!$B:$B,0)),"Part Code not in Parts Master"))</f>
        <v>Tube Sheet (Fabricated Plate)</v>
      </c>
      <c r="D80" s="24" t="s">
        <v>79</v>
      </c>
      <c r="E80" s="24">
        <v>30</v>
      </c>
      <c r="F80" s="24" t="s">
        <v>134</v>
      </c>
      <c r="G80" s="24" t="s">
        <v>795</v>
      </c>
      <c r="H80" s="39"/>
      <c r="I80" s="39"/>
      <c r="J80" s="39"/>
      <c r="K80" s="87"/>
      <c r="L80" s="39"/>
      <c r="M80" s="39"/>
      <c r="N80" s="24" t="s">
        <v>80</v>
      </c>
      <c r="O80" s="24"/>
      <c r="P80" s="24" t="s">
        <v>796</v>
      </c>
      <c r="Q80" s="24" t="s">
        <v>797</v>
      </c>
      <c r="R80" s="24" t="s">
        <v>798</v>
      </c>
    </row>
    <row r="81" spans="1:18" ht="41.4" x14ac:dyDescent="0.3">
      <c r="A81" s="36" t="s">
        <v>782</v>
      </c>
      <c r="B81" s="24" t="s">
        <v>697</v>
      </c>
      <c r="C81" s="30" t="str">
        <f>IF(B81="","",IFERROR(INDEX('Parts Master'!$C:$C,MATCH(B81,'Parts Master'!$B:$B,0)),"Part Code not in Parts Master"))</f>
        <v>Tube Sheet (Fabricated Plate)</v>
      </c>
      <c r="D81" s="24" t="s">
        <v>79</v>
      </c>
      <c r="E81" s="24">
        <v>40</v>
      </c>
      <c r="F81" s="24" t="s">
        <v>136</v>
      </c>
      <c r="G81" s="24" t="s">
        <v>799</v>
      </c>
      <c r="H81" s="39"/>
      <c r="I81" s="39"/>
      <c r="J81" s="39"/>
      <c r="K81" s="87"/>
      <c r="L81" s="39"/>
      <c r="M81" s="39"/>
      <c r="N81" s="24" t="s">
        <v>80</v>
      </c>
      <c r="O81" s="24"/>
      <c r="P81" s="24" t="s">
        <v>794</v>
      </c>
      <c r="Q81" s="24" t="s">
        <v>800</v>
      </c>
      <c r="R81" s="24" t="s">
        <v>801</v>
      </c>
    </row>
    <row r="82" spans="1:18" ht="41.4" x14ac:dyDescent="0.3">
      <c r="A82" s="36" t="s">
        <v>782</v>
      </c>
      <c r="B82" s="24" t="s">
        <v>697</v>
      </c>
      <c r="C82" s="30" t="str">
        <f>IF(B82="","",IFERROR(INDEX('Parts Master'!$C:$C,MATCH(B82,'Parts Master'!$B:$B,0)),"Part Code not in Parts Master"))</f>
        <v>Tube Sheet (Fabricated Plate)</v>
      </c>
      <c r="D82" s="24" t="s">
        <v>79</v>
      </c>
      <c r="E82" s="24">
        <v>50</v>
      </c>
      <c r="F82" s="24" t="s">
        <v>372</v>
      </c>
      <c r="G82" s="24" t="s">
        <v>802</v>
      </c>
      <c r="H82" s="39"/>
      <c r="I82" s="39"/>
      <c r="J82" s="39"/>
      <c r="K82" s="87"/>
      <c r="L82" s="39"/>
      <c r="M82" s="39"/>
      <c r="N82" s="24" t="s">
        <v>80</v>
      </c>
      <c r="O82" s="24"/>
      <c r="P82" s="24" t="s">
        <v>803</v>
      </c>
      <c r="Q82" s="24" t="s">
        <v>804</v>
      </c>
      <c r="R82" s="24" t="s">
        <v>785</v>
      </c>
    </row>
    <row r="83" spans="1:18" ht="41.4" x14ac:dyDescent="0.3">
      <c r="A83" s="36" t="s">
        <v>782</v>
      </c>
      <c r="B83" s="24" t="s">
        <v>697</v>
      </c>
      <c r="C83" s="30" t="str">
        <f>IF(B83="","",IFERROR(INDEX('Parts Master'!$C:$C,MATCH(B83,'Parts Master'!$B:$B,0)),"Part Code not in Parts Master"))</f>
        <v>Tube Sheet (Fabricated Plate)</v>
      </c>
      <c r="D83" s="24" t="s">
        <v>79</v>
      </c>
      <c r="E83" s="24">
        <v>60</v>
      </c>
      <c r="F83" s="24" t="s">
        <v>136</v>
      </c>
      <c r="G83" s="24" t="s">
        <v>805</v>
      </c>
      <c r="H83" s="39"/>
      <c r="I83" s="39"/>
      <c r="J83" s="39"/>
      <c r="K83" s="87"/>
      <c r="L83" s="39"/>
      <c r="M83" s="39"/>
      <c r="N83" s="24" t="s">
        <v>80</v>
      </c>
      <c r="O83" s="24"/>
      <c r="P83" s="24" t="s">
        <v>806</v>
      </c>
      <c r="Q83" s="24" t="s">
        <v>807</v>
      </c>
      <c r="R83" s="24" t="s">
        <v>785</v>
      </c>
    </row>
    <row r="84" spans="1:18" ht="41.4" x14ac:dyDescent="0.3">
      <c r="A84" s="37" t="s">
        <v>782</v>
      </c>
      <c r="B84" s="25" t="s">
        <v>697</v>
      </c>
      <c r="C84" s="31" t="str">
        <f>IF(B84="","",IFERROR(INDEX('Parts Master'!$C:$C,MATCH(B84,'Parts Master'!$B:$B,0)),"Part Code not in Parts Master"))</f>
        <v>Tube Sheet (Fabricated Plate)</v>
      </c>
      <c r="D84" s="25" t="s">
        <v>79</v>
      </c>
      <c r="E84" s="25">
        <v>70</v>
      </c>
      <c r="F84" s="25" t="s">
        <v>135</v>
      </c>
      <c r="G84" s="25" t="s">
        <v>808</v>
      </c>
      <c r="H84" s="40"/>
      <c r="I84" s="40"/>
      <c r="J84" s="40"/>
      <c r="K84" s="88"/>
      <c r="L84" s="40"/>
      <c r="M84" s="40"/>
      <c r="N84" s="25" t="s">
        <v>80</v>
      </c>
      <c r="O84" s="25"/>
      <c r="P84" s="25" t="s">
        <v>809</v>
      </c>
      <c r="Q84" s="25" t="s">
        <v>810</v>
      </c>
      <c r="R84" s="25" t="s">
        <v>785</v>
      </c>
    </row>
    <row r="85" spans="1:18" ht="41.4" x14ac:dyDescent="0.3">
      <c r="A85" s="92" t="s">
        <v>1619</v>
      </c>
      <c r="B85" s="91" t="s">
        <v>1480</v>
      </c>
      <c r="C85" s="128" t="s">
        <v>1478</v>
      </c>
      <c r="D85" s="91" t="s">
        <v>79</v>
      </c>
      <c r="E85" s="91">
        <v>10</v>
      </c>
      <c r="F85" s="91" t="s">
        <v>121</v>
      </c>
      <c r="G85" s="91" t="s">
        <v>1696</v>
      </c>
      <c r="H85" s="91" t="s">
        <v>122</v>
      </c>
      <c r="I85" s="93">
        <v>10</v>
      </c>
      <c r="J85" s="93"/>
      <c r="K85" s="134">
        <v>0.5</v>
      </c>
      <c r="L85" s="129" t="s">
        <v>342</v>
      </c>
      <c r="M85" s="129" t="s">
        <v>1182</v>
      </c>
      <c r="N85" s="91" t="s">
        <v>80</v>
      </c>
      <c r="O85" s="91"/>
      <c r="P85" s="91" t="s">
        <v>1183</v>
      </c>
      <c r="Q85" s="91" t="s">
        <v>1184</v>
      </c>
      <c r="R85" s="91" t="s">
        <v>1697</v>
      </c>
    </row>
    <row r="86" spans="1:18" ht="41.4" x14ac:dyDescent="0.3">
      <c r="A86" s="70" t="s">
        <v>1619</v>
      </c>
      <c r="B86" s="68" t="s">
        <v>1480</v>
      </c>
      <c r="C86" s="69" t="s">
        <v>1478</v>
      </c>
      <c r="D86" s="68" t="s">
        <v>79</v>
      </c>
      <c r="E86" s="68">
        <v>20</v>
      </c>
      <c r="F86" s="68" t="s">
        <v>123</v>
      </c>
      <c r="G86" s="68" t="s">
        <v>1698</v>
      </c>
      <c r="H86" s="68" t="s">
        <v>124</v>
      </c>
      <c r="I86" s="72">
        <v>11</v>
      </c>
      <c r="J86" s="72"/>
      <c r="K86" s="84">
        <v>0.75</v>
      </c>
      <c r="L86" s="71" t="s">
        <v>342</v>
      </c>
      <c r="M86" s="71" t="s">
        <v>1182</v>
      </c>
      <c r="N86" s="68" t="s">
        <v>80</v>
      </c>
      <c r="O86" s="68"/>
      <c r="P86" s="68" t="s">
        <v>1699</v>
      </c>
      <c r="Q86" s="68" t="s">
        <v>1187</v>
      </c>
      <c r="R86" s="68" t="s">
        <v>1697</v>
      </c>
    </row>
    <row r="87" spans="1:18" ht="41.4" x14ac:dyDescent="0.3">
      <c r="A87" s="70" t="s">
        <v>1619</v>
      </c>
      <c r="B87" s="68" t="s">
        <v>1480</v>
      </c>
      <c r="C87" s="69" t="s">
        <v>1478</v>
      </c>
      <c r="D87" s="68" t="s">
        <v>79</v>
      </c>
      <c r="E87" s="68">
        <v>30</v>
      </c>
      <c r="F87" s="68" t="s">
        <v>125</v>
      </c>
      <c r="G87" s="68" t="s">
        <v>1700</v>
      </c>
      <c r="H87" s="68" t="s">
        <v>127</v>
      </c>
      <c r="I87" s="72">
        <v>12</v>
      </c>
      <c r="J87" s="72"/>
      <c r="K87" s="84">
        <v>0.3</v>
      </c>
      <c r="L87" s="71" t="s">
        <v>342</v>
      </c>
      <c r="M87" s="71" t="s">
        <v>1188</v>
      </c>
      <c r="N87" s="68" t="s">
        <v>80</v>
      </c>
      <c r="O87" s="68"/>
      <c r="P87" s="68" t="s">
        <v>1189</v>
      </c>
      <c r="Q87" s="68" t="s">
        <v>1701</v>
      </c>
      <c r="R87" s="68" t="s">
        <v>1697</v>
      </c>
    </row>
    <row r="88" spans="1:18" ht="41.4" x14ac:dyDescent="0.3">
      <c r="A88" s="70" t="s">
        <v>1619</v>
      </c>
      <c r="B88" s="68" t="s">
        <v>1480</v>
      </c>
      <c r="C88" s="69" t="s">
        <v>1478</v>
      </c>
      <c r="D88" s="68" t="s">
        <v>79</v>
      </c>
      <c r="E88" s="68">
        <v>40</v>
      </c>
      <c r="F88" s="68" t="s">
        <v>128</v>
      </c>
      <c r="G88" s="68" t="s">
        <v>1702</v>
      </c>
      <c r="H88" s="68" t="s">
        <v>127</v>
      </c>
      <c r="I88" s="72">
        <v>12</v>
      </c>
      <c r="J88" s="72"/>
      <c r="K88" s="84">
        <v>0.35</v>
      </c>
      <c r="L88" s="71" t="s">
        <v>342</v>
      </c>
      <c r="M88" s="71" t="s">
        <v>1191</v>
      </c>
      <c r="N88" s="68" t="s">
        <v>80</v>
      </c>
      <c r="O88" s="68"/>
      <c r="P88" s="68" t="s">
        <v>1192</v>
      </c>
      <c r="Q88" s="68" t="s">
        <v>1703</v>
      </c>
      <c r="R88" s="68" t="s">
        <v>1697</v>
      </c>
    </row>
    <row r="89" spans="1:18" ht="41.4" x14ac:dyDescent="0.3">
      <c r="A89" s="70" t="s">
        <v>1619</v>
      </c>
      <c r="B89" s="68" t="s">
        <v>1480</v>
      </c>
      <c r="C89" s="69" t="s">
        <v>1478</v>
      </c>
      <c r="D89" s="68" t="s">
        <v>79</v>
      </c>
      <c r="E89" s="68">
        <v>50</v>
      </c>
      <c r="F89" s="68" t="s">
        <v>129</v>
      </c>
      <c r="G89" s="68" t="s">
        <v>1704</v>
      </c>
      <c r="H89" s="68" t="s">
        <v>127</v>
      </c>
      <c r="I89" s="72">
        <v>13</v>
      </c>
      <c r="J89" s="72"/>
      <c r="K89" s="84">
        <v>4</v>
      </c>
      <c r="L89" s="71" t="s">
        <v>342</v>
      </c>
      <c r="M89" s="71" t="s">
        <v>343</v>
      </c>
      <c r="N89" s="68" t="s">
        <v>80</v>
      </c>
      <c r="O89" s="68"/>
      <c r="P89" s="68" t="s">
        <v>1705</v>
      </c>
      <c r="Q89" s="68" t="s">
        <v>1195</v>
      </c>
      <c r="R89" s="68" t="s">
        <v>1697</v>
      </c>
    </row>
    <row r="90" spans="1:18" ht="41.4" x14ac:dyDescent="0.3">
      <c r="A90" s="70" t="s">
        <v>1619</v>
      </c>
      <c r="B90" s="68" t="s">
        <v>1480</v>
      </c>
      <c r="C90" s="69" t="s">
        <v>1478</v>
      </c>
      <c r="D90" s="68" t="s">
        <v>79</v>
      </c>
      <c r="E90" s="68">
        <v>60</v>
      </c>
      <c r="F90" s="68" t="s">
        <v>130</v>
      </c>
      <c r="G90" s="68" t="s">
        <v>1706</v>
      </c>
      <c r="H90" s="68" t="s">
        <v>131</v>
      </c>
      <c r="I90" s="72">
        <v>15</v>
      </c>
      <c r="J90" s="72"/>
      <c r="K90" s="84">
        <v>1.5</v>
      </c>
      <c r="L90" s="71" t="s">
        <v>342</v>
      </c>
      <c r="M90" s="71" t="s">
        <v>357</v>
      </c>
      <c r="N90" s="68" t="s">
        <v>80</v>
      </c>
      <c r="O90" s="68"/>
      <c r="P90" s="68" t="s">
        <v>1707</v>
      </c>
      <c r="Q90" s="68" t="s">
        <v>132</v>
      </c>
      <c r="R90" s="68" t="s">
        <v>1697</v>
      </c>
    </row>
    <row r="91" spans="1:18" ht="41.4" x14ac:dyDescent="0.3">
      <c r="A91" s="70" t="s">
        <v>1619</v>
      </c>
      <c r="B91" s="68" t="s">
        <v>1480</v>
      </c>
      <c r="C91" s="69" t="s">
        <v>1478</v>
      </c>
      <c r="D91" s="68" t="s">
        <v>79</v>
      </c>
      <c r="E91" s="68">
        <v>70</v>
      </c>
      <c r="F91" s="68" t="s">
        <v>133</v>
      </c>
      <c r="G91" s="68" t="s">
        <v>1708</v>
      </c>
      <c r="H91" s="68" t="s">
        <v>131</v>
      </c>
      <c r="I91" s="72">
        <v>16</v>
      </c>
      <c r="J91" s="72"/>
      <c r="K91" s="84">
        <v>1.2</v>
      </c>
      <c r="L91" s="71" t="s">
        <v>342</v>
      </c>
      <c r="M91" s="71" t="s">
        <v>351</v>
      </c>
      <c r="N91" s="68" t="s">
        <v>80</v>
      </c>
      <c r="O91" s="68"/>
      <c r="P91" s="68" t="s">
        <v>1197</v>
      </c>
      <c r="Q91" s="68" t="s">
        <v>1198</v>
      </c>
      <c r="R91" s="68" t="s">
        <v>1697</v>
      </c>
    </row>
    <row r="92" spans="1:18" ht="41.4" x14ac:dyDescent="0.3">
      <c r="A92" s="70" t="s">
        <v>1619</v>
      </c>
      <c r="B92" s="68" t="s">
        <v>1480</v>
      </c>
      <c r="C92" s="69" t="s">
        <v>1478</v>
      </c>
      <c r="D92" s="68" t="s">
        <v>79</v>
      </c>
      <c r="E92" s="68">
        <v>80</v>
      </c>
      <c r="F92" s="68" t="s">
        <v>134</v>
      </c>
      <c r="G92" s="68" t="s">
        <v>1709</v>
      </c>
      <c r="H92" s="68" t="s">
        <v>124</v>
      </c>
      <c r="I92" s="72">
        <v>17</v>
      </c>
      <c r="J92" s="72"/>
      <c r="K92" s="84">
        <v>1</v>
      </c>
      <c r="L92" s="71" t="s">
        <v>342</v>
      </c>
      <c r="M92" s="71" t="s">
        <v>357</v>
      </c>
      <c r="N92" s="68" t="s">
        <v>104</v>
      </c>
      <c r="O92" s="68" t="s">
        <v>1710</v>
      </c>
      <c r="P92" s="68" t="s">
        <v>1711</v>
      </c>
      <c r="Q92" s="68" t="s">
        <v>407</v>
      </c>
      <c r="R92" s="68" t="s">
        <v>1697</v>
      </c>
    </row>
    <row r="93" spans="1:18" ht="41.4" x14ac:dyDescent="0.3">
      <c r="A93" s="70" t="s">
        <v>1619</v>
      </c>
      <c r="B93" s="68" t="s">
        <v>1480</v>
      </c>
      <c r="C93" s="69" t="s">
        <v>1478</v>
      </c>
      <c r="D93" s="68" t="s">
        <v>79</v>
      </c>
      <c r="E93" s="68">
        <v>90</v>
      </c>
      <c r="F93" s="68" t="s">
        <v>135</v>
      </c>
      <c r="G93" s="68" t="s">
        <v>1712</v>
      </c>
      <c r="H93" s="68" t="s">
        <v>124</v>
      </c>
      <c r="I93" s="72">
        <v>25</v>
      </c>
      <c r="J93" s="72"/>
      <c r="K93" s="84">
        <v>0.75</v>
      </c>
      <c r="L93" s="71" t="s">
        <v>342</v>
      </c>
      <c r="M93" s="71" t="s">
        <v>343</v>
      </c>
      <c r="N93" s="68" t="s">
        <v>80</v>
      </c>
      <c r="O93" s="68"/>
      <c r="P93" s="68" t="s">
        <v>1713</v>
      </c>
      <c r="Q93" s="68" t="s">
        <v>1201</v>
      </c>
      <c r="R93" s="68" t="s">
        <v>1697</v>
      </c>
    </row>
    <row r="94" spans="1:18" ht="41.4" x14ac:dyDescent="0.3">
      <c r="A94" s="70" t="s">
        <v>1619</v>
      </c>
      <c r="B94" s="68" t="s">
        <v>1485</v>
      </c>
      <c r="C94" s="69" t="s">
        <v>1482</v>
      </c>
      <c r="D94" s="68" t="s">
        <v>79</v>
      </c>
      <c r="E94" s="68">
        <v>10</v>
      </c>
      <c r="F94" s="68" t="s">
        <v>121</v>
      </c>
      <c r="G94" s="68" t="s">
        <v>1714</v>
      </c>
      <c r="H94" s="68" t="s">
        <v>122</v>
      </c>
      <c r="I94" s="72">
        <v>10</v>
      </c>
      <c r="J94" s="72"/>
      <c r="K94" s="84">
        <v>0.5</v>
      </c>
      <c r="L94" s="71" t="s">
        <v>342</v>
      </c>
      <c r="M94" s="71" t="s">
        <v>1182</v>
      </c>
      <c r="N94" s="68" t="s">
        <v>80</v>
      </c>
      <c r="O94" s="68"/>
      <c r="P94" s="68" t="s">
        <v>1183</v>
      </c>
      <c r="Q94" s="68" t="s">
        <v>1184</v>
      </c>
      <c r="R94" s="68" t="s">
        <v>1697</v>
      </c>
    </row>
    <row r="95" spans="1:18" ht="41.4" x14ac:dyDescent="0.3">
      <c r="A95" s="70" t="s">
        <v>1619</v>
      </c>
      <c r="B95" s="68" t="s">
        <v>1485</v>
      </c>
      <c r="C95" s="69" t="s">
        <v>1482</v>
      </c>
      <c r="D95" s="68" t="s">
        <v>79</v>
      </c>
      <c r="E95" s="68">
        <v>20</v>
      </c>
      <c r="F95" s="68" t="s">
        <v>123</v>
      </c>
      <c r="G95" s="68" t="s">
        <v>1715</v>
      </c>
      <c r="H95" s="68" t="s">
        <v>124</v>
      </c>
      <c r="I95" s="72">
        <v>11</v>
      </c>
      <c r="J95" s="72"/>
      <c r="K95" s="84">
        <v>0.75</v>
      </c>
      <c r="L95" s="71" t="s">
        <v>342</v>
      </c>
      <c r="M95" s="71" t="s">
        <v>1182</v>
      </c>
      <c r="N95" s="68" t="s">
        <v>80</v>
      </c>
      <c r="O95" s="68"/>
      <c r="P95" s="68" t="s">
        <v>1699</v>
      </c>
      <c r="Q95" s="68" t="s">
        <v>1187</v>
      </c>
      <c r="R95" s="68" t="s">
        <v>1697</v>
      </c>
    </row>
    <row r="96" spans="1:18" ht="41.4" x14ac:dyDescent="0.3">
      <c r="A96" s="70" t="s">
        <v>1619</v>
      </c>
      <c r="B96" s="68" t="s">
        <v>1485</v>
      </c>
      <c r="C96" s="69" t="s">
        <v>1482</v>
      </c>
      <c r="D96" s="68" t="s">
        <v>79</v>
      </c>
      <c r="E96" s="68">
        <v>30</v>
      </c>
      <c r="F96" s="68" t="s">
        <v>125</v>
      </c>
      <c r="G96" s="68" t="s">
        <v>1716</v>
      </c>
      <c r="H96" s="68" t="s">
        <v>127</v>
      </c>
      <c r="I96" s="72">
        <v>12</v>
      </c>
      <c r="J96" s="72"/>
      <c r="K96" s="84">
        <v>0.3</v>
      </c>
      <c r="L96" s="71" t="s">
        <v>342</v>
      </c>
      <c r="M96" s="71" t="s">
        <v>1188</v>
      </c>
      <c r="N96" s="68" t="s">
        <v>80</v>
      </c>
      <c r="O96" s="68"/>
      <c r="P96" s="68" t="s">
        <v>1189</v>
      </c>
      <c r="Q96" s="68" t="s">
        <v>1701</v>
      </c>
      <c r="R96" s="68" t="s">
        <v>1697</v>
      </c>
    </row>
    <row r="97" spans="1:18" ht="41.4" x14ac:dyDescent="0.3">
      <c r="A97" s="70" t="s">
        <v>1619</v>
      </c>
      <c r="B97" s="68" t="s">
        <v>1485</v>
      </c>
      <c r="C97" s="69" t="s">
        <v>1482</v>
      </c>
      <c r="D97" s="68" t="s">
        <v>79</v>
      </c>
      <c r="E97" s="68">
        <v>40</v>
      </c>
      <c r="F97" s="68" t="s">
        <v>129</v>
      </c>
      <c r="G97" s="68" t="s">
        <v>1717</v>
      </c>
      <c r="H97" s="68" t="s">
        <v>127</v>
      </c>
      <c r="I97" s="72">
        <v>13</v>
      </c>
      <c r="J97" s="72"/>
      <c r="K97" s="84">
        <v>4</v>
      </c>
      <c r="L97" s="71" t="s">
        <v>342</v>
      </c>
      <c r="M97" s="71" t="s">
        <v>343</v>
      </c>
      <c r="N97" s="68" t="s">
        <v>80</v>
      </c>
      <c r="O97" s="68"/>
      <c r="P97" s="68" t="s">
        <v>1705</v>
      </c>
      <c r="Q97" s="68" t="s">
        <v>1195</v>
      </c>
      <c r="R97" s="68" t="s">
        <v>1697</v>
      </c>
    </row>
    <row r="98" spans="1:18" ht="41.4" x14ac:dyDescent="0.3">
      <c r="A98" s="70" t="s">
        <v>1619</v>
      </c>
      <c r="B98" s="68" t="s">
        <v>1485</v>
      </c>
      <c r="C98" s="69" t="s">
        <v>1482</v>
      </c>
      <c r="D98" s="68" t="s">
        <v>79</v>
      </c>
      <c r="E98" s="68">
        <v>50</v>
      </c>
      <c r="F98" s="68" t="s">
        <v>136</v>
      </c>
      <c r="G98" s="68" t="s">
        <v>1718</v>
      </c>
      <c r="H98" s="68" t="s">
        <v>137</v>
      </c>
      <c r="I98" s="72">
        <v>14</v>
      </c>
      <c r="J98" s="72"/>
      <c r="K98" s="84">
        <v>1.5</v>
      </c>
      <c r="L98" s="71" t="s">
        <v>342</v>
      </c>
      <c r="M98" s="71" t="s">
        <v>343</v>
      </c>
      <c r="N98" s="68" t="s">
        <v>80</v>
      </c>
      <c r="O98" s="68"/>
      <c r="P98" s="68" t="s">
        <v>1719</v>
      </c>
      <c r="Q98" s="68" t="s">
        <v>1207</v>
      </c>
      <c r="R98" s="68" t="s">
        <v>1697</v>
      </c>
    </row>
    <row r="99" spans="1:18" ht="41.4" x14ac:dyDescent="0.3">
      <c r="A99" s="70" t="s">
        <v>1619</v>
      </c>
      <c r="B99" s="68" t="s">
        <v>1485</v>
      </c>
      <c r="C99" s="69" t="s">
        <v>1482</v>
      </c>
      <c r="D99" s="68" t="s">
        <v>79</v>
      </c>
      <c r="E99" s="68">
        <v>60</v>
      </c>
      <c r="F99" s="68" t="s">
        <v>135</v>
      </c>
      <c r="G99" s="68" t="s">
        <v>1720</v>
      </c>
      <c r="H99" s="68" t="s">
        <v>124</v>
      </c>
      <c r="I99" s="72">
        <v>25</v>
      </c>
      <c r="J99" s="72"/>
      <c r="K99" s="84">
        <v>0.75</v>
      </c>
      <c r="L99" s="71" t="s">
        <v>342</v>
      </c>
      <c r="M99" s="71" t="s">
        <v>343</v>
      </c>
      <c r="N99" s="68" t="s">
        <v>80</v>
      </c>
      <c r="O99" s="68"/>
      <c r="P99" s="68" t="s">
        <v>1713</v>
      </c>
      <c r="Q99" s="68" t="s">
        <v>1201</v>
      </c>
      <c r="R99" s="68" t="s">
        <v>1697</v>
      </c>
    </row>
    <row r="100" spans="1:18" ht="41.4" x14ac:dyDescent="0.3">
      <c r="A100" s="70" t="s">
        <v>1619</v>
      </c>
      <c r="B100" s="68" t="s">
        <v>1487</v>
      </c>
      <c r="C100" s="69" t="s">
        <v>1624</v>
      </c>
      <c r="D100" s="68" t="s">
        <v>79</v>
      </c>
      <c r="E100" s="68">
        <v>10</v>
      </c>
      <c r="F100" s="68" t="s">
        <v>121</v>
      </c>
      <c r="G100" s="68" t="s">
        <v>1721</v>
      </c>
      <c r="H100" s="68" t="s">
        <v>122</v>
      </c>
      <c r="I100" s="72">
        <v>10</v>
      </c>
      <c r="J100" s="72"/>
      <c r="K100" s="84">
        <v>0.5</v>
      </c>
      <c r="L100" s="71" t="s">
        <v>342</v>
      </c>
      <c r="M100" s="71" t="s">
        <v>1182</v>
      </c>
      <c r="N100" s="68" t="s">
        <v>80</v>
      </c>
      <c r="O100" s="68"/>
      <c r="P100" s="68" t="s">
        <v>1183</v>
      </c>
      <c r="Q100" s="68" t="s">
        <v>1184</v>
      </c>
      <c r="R100" s="68" t="s">
        <v>1697</v>
      </c>
    </row>
    <row r="101" spans="1:18" ht="41.4" x14ac:dyDescent="0.3">
      <c r="A101" s="70" t="s">
        <v>1619</v>
      </c>
      <c r="B101" s="68" t="s">
        <v>1487</v>
      </c>
      <c r="C101" s="69" t="s">
        <v>1624</v>
      </c>
      <c r="D101" s="68" t="s">
        <v>79</v>
      </c>
      <c r="E101" s="68">
        <v>20</v>
      </c>
      <c r="F101" s="68" t="s">
        <v>123</v>
      </c>
      <c r="G101" s="68" t="s">
        <v>1722</v>
      </c>
      <c r="H101" s="68" t="s">
        <v>124</v>
      </c>
      <c r="I101" s="72">
        <v>11</v>
      </c>
      <c r="J101" s="72"/>
      <c r="K101" s="84">
        <v>0.75</v>
      </c>
      <c r="L101" s="71" t="s">
        <v>342</v>
      </c>
      <c r="M101" s="71" t="s">
        <v>1182</v>
      </c>
      <c r="N101" s="68" t="s">
        <v>80</v>
      </c>
      <c r="O101" s="68"/>
      <c r="P101" s="68" t="s">
        <v>1699</v>
      </c>
      <c r="Q101" s="68" t="s">
        <v>1187</v>
      </c>
      <c r="R101" s="68" t="s">
        <v>1697</v>
      </c>
    </row>
    <row r="102" spans="1:18" ht="41.4" x14ac:dyDescent="0.3">
      <c r="A102" s="70" t="s">
        <v>1619</v>
      </c>
      <c r="B102" s="68" t="s">
        <v>1487</v>
      </c>
      <c r="C102" s="69" t="s">
        <v>1624</v>
      </c>
      <c r="D102" s="68" t="s">
        <v>79</v>
      </c>
      <c r="E102" s="68">
        <v>30</v>
      </c>
      <c r="F102" s="68" t="s">
        <v>125</v>
      </c>
      <c r="G102" s="68" t="s">
        <v>1723</v>
      </c>
      <c r="H102" s="68" t="s">
        <v>127</v>
      </c>
      <c r="I102" s="72">
        <v>12</v>
      </c>
      <c r="J102" s="72"/>
      <c r="K102" s="84">
        <v>0.3</v>
      </c>
      <c r="L102" s="71" t="s">
        <v>342</v>
      </c>
      <c r="M102" s="71" t="s">
        <v>1188</v>
      </c>
      <c r="N102" s="68" t="s">
        <v>80</v>
      </c>
      <c r="O102" s="68"/>
      <c r="P102" s="68" t="s">
        <v>1189</v>
      </c>
      <c r="Q102" s="68" t="s">
        <v>1701</v>
      </c>
      <c r="R102" s="68" t="s">
        <v>1697</v>
      </c>
    </row>
    <row r="103" spans="1:18" ht="41.4" x14ac:dyDescent="0.3">
      <c r="A103" s="70" t="s">
        <v>1619</v>
      </c>
      <c r="B103" s="68" t="s">
        <v>1487</v>
      </c>
      <c r="C103" s="69" t="s">
        <v>1624</v>
      </c>
      <c r="D103" s="68" t="s">
        <v>79</v>
      </c>
      <c r="E103" s="68">
        <v>40</v>
      </c>
      <c r="F103" s="68" t="s">
        <v>136</v>
      </c>
      <c r="G103" s="68" t="s">
        <v>1724</v>
      </c>
      <c r="H103" s="68" t="s">
        <v>137</v>
      </c>
      <c r="I103" s="72">
        <v>14</v>
      </c>
      <c r="J103" s="72"/>
      <c r="K103" s="84">
        <v>2</v>
      </c>
      <c r="L103" s="71" t="s">
        <v>342</v>
      </c>
      <c r="M103" s="71" t="s">
        <v>343</v>
      </c>
      <c r="N103" s="68" t="s">
        <v>80</v>
      </c>
      <c r="O103" s="68"/>
      <c r="P103" s="68" t="s">
        <v>1719</v>
      </c>
      <c r="Q103" s="68" t="s">
        <v>1207</v>
      </c>
      <c r="R103" s="68" t="s">
        <v>1697</v>
      </c>
    </row>
    <row r="104" spans="1:18" ht="41.4" x14ac:dyDescent="0.3">
      <c r="A104" s="70" t="s">
        <v>1619</v>
      </c>
      <c r="B104" s="68" t="s">
        <v>1487</v>
      </c>
      <c r="C104" s="69" t="s">
        <v>1624</v>
      </c>
      <c r="D104" s="68" t="s">
        <v>79</v>
      </c>
      <c r="E104" s="68">
        <v>50</v>
      </c>
      <c r="F104" s="68" t="s">
        <v>128</v>
      </c>
      <c r="G104" s="68" t="s">
        <v>1725</v>
      </c>
      <c r="H104" s="68" t="s">
        <v>127</v>
      </c>
      <c r="I104" s="72">
        <v>12</v>
      </c>
      <c r="J104" s="72"/>
      <c r="K104" s="84">
        <v>0.35</v>
      </c>
      <c r="L104" s="71" t="s">
        <v>342</v>
      </c>
      <c r="M104" s="71" t="s">
        <v>1191</v>
      </c>
      <c r="N104" s="68" t="s">
        <v>80</v>
      </c>
      <c r="O104" s="68"/>
      <c r="P104" s="68" t="s">
        <v>1192</v>
      </c>
      <c r="Q104" s="68" t="s">
        <v>1703</v>
      </c>
      <c r="R104" s="68" t="s">
        <v>1697</v>
      </c>
    </row>
    <row r="105" spans="1:18" ht="41.4" x14ac:dyDescent="0.3">
      <c r="A105" s="70" t="s">
        <v>1619</v>
      </c>
      <c r="B105" s="68" t="s">
        <v>1487</v>
      </c>
      <c r="C105" s="69" t="s">
        <v>1624</v>
      </c>
      <c r="D105" s="68" t="s">
        <v>79</v>
      </c>
      <c r="E105" s="68">
        <v>60</v>
      </c>
      <c r="F105" s="68" t="s">
        <v>135</v>
      </c>
      <c r="G105" s="68" t="s">
        <v>1726</v>
      </c>
      <c r="H105" s="68" t="s">
        <v>124</v>
      </c>
      <c r="I105" s="72">
        <v>25</v>
      </c>
      <c r="J105" s="72"/>
      <c r="K105" s="84">
        <v>0.75</v>
      </c>
      <c r="L105" s="71" t="s">
        <v>342</v>
      </c>
      <c r="M105" s="71" t="s">
        <v>343</v>
      </c>
      <c r="N105" s="68" t="s">
        <v>80</v>
      </c>
      <c r="O105" s="68"/>
      <c r="P105" s="68" t="s">
        <v>1713</v>
      </c>
      <c r="Q105" s="68" t="s">
        <v>1201</v>
      </c>
      <c r="R105" s="68" t="s">
        <v>1697</v>
      </c>
    </row>
    <row r="106" spans="1:18" ht="41.4" x14ac:dyDescent="0.3">
      <c r="A106" s="70" t="s">
        <v>1619</v>
      </c>
      <c r="B106" s="68" t="s">
        <v>1490</v>
      </c>
      <c r="C106" s="69" t="s">
        <v>1488</v>
      </c>
      <c r="D106" s="68" t="s">
        <v>79</v>
      </c>
      <c r="E106" s="68">
        <v>10</v>
      </c>
      <c r="F106" s="68" t="s">
        <v>121</v>
      </c>
      <c r="G106" s="68" t="s">
        <v>1727</v>
      </c>
      <c r="H106" s="68" t="s">
        <v>122</v>
      </c>
      <c r="I106" s="72">
        <v>10</v>
      </c>
      <c r="J106" s="72"/>
      <c r="K106" s="84">
        <v>0.5</v>
      </c>
      <c r="L106" s="71" t="s">
        <v>342</v>
      </c>
      <c r="M106" s="71" t="s">
        <v>1182</v>
      </c>
      <c r="N106" s="68" t="s">
        <v>80</v>
      </c>
      <c r="O106" s="68"/>
      <c r="P106" s="68" t="s">
        <v>1183</v>
      </c>
      <c r="Q106" s="68" t="s">
        <v>1184</v>
      </c>
      <c r="R106" s="68" t="s">
        <v>1697</v>
      </c>
    </row>
    <row r="107" spans="1:18" ht="41.4" x14ac:dyDescent="0.3">
      <c r="A107" s="70" t="s">
        <v>1619</v>
      </c>
      <c r="B107" s="68" t="s">
        <v>1490</v>
      </c>
      <c r="C107" s="69" t="s">
        <v>1488</v>
      </c>
      <c r="D107" s="68" t="s">
        <v>79</v>
      </c>
      <c r="E107" s="68">
        <v>20</v>
      </c>
      <c r="F107" s="68" t="s">
        <v>123</v>
      </c>
      <c r="G107" s="68" t="s">
        <v>1728</v>
      </c>
      <c r="H107" s="68" t="s">
        <v>124</v>
      </c>
      <c r="I107" s="72">
        <v>11</v>
      </c>
      <c r="J107" s="72"/>
      <c r="K107" s="84">
        <v>0.75</v>
      </c>
      <c r="L107" s="71" t="s">
        <v>342</v>
      </c>
      <c r="M107" s="71" t="s">
        <v>1182</v>
      </c>
      <c r="N107" s="68" t="s">
        <v>80</v>
      </c>
      <c r="O107" s="68"/>
      <c r="P107" s="68" t="s">
        <v>1699</v>
      </c>
      <c r="Q107" s="68" t="s">
        <v>1187</v>
      </c>
      <c r="R107" s="68" t="s">
        <v>1697</v>
      </c>
    </row>
    <row r="108" spans="1:18" ht="41.4" x14ac:dyDescent="0.3">
      <c r="A108" s="70" t="s">
        <v>1619</v>
      </c>
      <c r="B108" s="68" t="s">
        <v>1490</v>
      </c>
      <c r="C108" s="69" t="s">
        <v>1488</v>
      </c>
      <c r="D108" s="68" t="s">
        <v>79</v>
      </c>
      <c r="E108" s="68">
        <v>30</v>
      </c>
      <c r="F108" s="68" t="s">
        <v>125</v>
      </c>
      <c r="G108" s="68" t="s">
        <v>1729</v>
      </c>
      <c r="H108" s="68" t="s">
        <v>127</v>
      </c>
      <c r="I108" s="72">
        <v>12</v>
      </c>
      <c r="J108" s="72"/>
      <c r="K108" s="84">
        <v>0.3</v>
      </c>
      <c r="L108" s="71" t="s">
        <v>342</v>
      </c>
      <c r="M108" s="71" t="s">
        <v>1188</v>
      </c>
      <c r="N108" s="68" t="s">
        <v>80</v>
      </c>
      <c r="O108" s="68"/>
      <c r="P108" s="68" t="s">
        <v>1189</v>
      </c>
      <c r="Q108" s="68" t="s">
        <v>1701</v>
      </c>
      <c r="R108" s="68" t="s">
        <v>1697</v>
      </c>
    </row>
    <row r="109" spans="1:18" ht="41.4" x14ac:dyDescent="0.3">
      <c r="A109" s="70" t="s">
        <v>1619</v>
      </c>
      <c r="B109" s="68" t="s">
        <v>1490</v>
      </c>
      <c r="C109" s="69" t="s">
        <v>1488</v>
      </c>
      <c r="D109" s="68" t="s">
        <v>79</v>
      </c>
      <c r="E109" s="68">
        <v>40</v>
      </c>
      <c r="F109" s="68" t="s">
        <v>136</v>
      </c>
      <c r="G109" s="68" t="s">
        <v>1730</v>
      </c>
      <c r="H109" s="68" t="s">
        <v>137</v>
      </c>
      <c r="I109" s="72">
        <v>14</v>
      </c>
      <c r="J109" s="72"/>
      <c r="K109" s="84">
        <v>2</v>
      </c>
      <c r="L109" s="71" t="s">
        <v>342</v>
      </c>
      <c r="M109" s="71" t="s">
        <v>343</v>
      </c>
      <c r="N109" s="68" t="s">
        <v>80</v>
      </c>
      <c r="O109" s="68"/>
      <c r="P109" s="68" t="s">
        <v>1719</v>
      </c>
      <c r="Q109" s="68" t="s">
        <v>1207</v>
      </c>
      <c r="R109" s="68" t="s">
        <v>1697</v>
      </c>
    </row>
    <row r="110" spans="1:18" ht="41.4" x14ac:dyDescent="0.3">
      <c r="A110" s="70" t="s">
        <v>1619</v>
      </c>
      <c r="B110" s="68" t="s">
        <v>1490</v>
      </c>
      <c r="C110" s="69" t="s">
        <v>1488</v>
      </c>
      <c r="D110" s="68" t="s">
        <v>79</v>
      </c>
      <c r="E110" s="68">
        <v>50</v>
      </c>
      <c r="F110" s="68" t="s">
        <v>128</v>
      </c>
      <c r="G110" s="68" t="s">
        <v>1731</v>
      </c>
      <c r="H110" s="68" t="s">
        <v>127</v>
      </c>
      <c r="I110" s="72">
        <v>12</v>
      </c>
      <c r="J110" s="72"/>
      <c r="K110" s="84">
        <v>0.35</v>
      </c>
      <c r="L110" s="71" t="s">
        <v>342</v>
      </c>
      <c r="M110" s="71" t="s">
        <v>1191</v>
      </c>
      <c r="N110" s="68" t="s">
        <v>80</v>
      </c>
      <c r="O110" s="68"/>
      <c r="P110" s="68" t="s">
        <v>1192</v>
      </c>
      <c r="Q110" s="68" t="s">
        <v>1703</v>
      </c>
      <c r="R110" s="68" t="s">
        <v>1697</v>
      </c>
    </row>
    <row r="111" spans="1:18" ht="41.4" x14ac:dyDescent="0.3">
      <c r="A111" s="70" t="s">
        <v>1619</v>
      </c>
      <c r="B111" s="68" t="s">
        <v>1490</v>
      </c>
      <c r="C111" s="69" t="s">
        <v>1488</v>
      </c>
      <c r="D111" s="68" t="s">
        <v>79</v>
      </c>
      <c r="E111" s="68">
        <v>60</v>
      </c>
      <c r="F111" s="68" t="s">
        <v>135</v>
      </c>
      <c r="G111" s="68" t="s">
        <v>1732</v>
      </c>
      <c r="H111" s="68" t="s">
        <v>124</v>
      </c>
      <c r="I111" s="72">
        <v>25</v>
      </c>
      <c r="J111" s="72"/>
      <c r="K111" s="84">
        <v>0.75</v>
      </c>
      <c r="L111" s="71" t="s">
        <v>342</v>
      </c>
      <c r="M111" s="71" t="s">
        <v>343</v>
      </c>
      <c r="N111" s="68" t="s">
        <v>80</v>
      </c>
      <c r="O111" s="68"/>
      <c r="P111" s="68" t="s">
        <v>1713</v>
      </c>
      <c r="Q111" s="68" t="s">
        <v>1201</v>
      </c>
      <c r="R111" s="68" t="s">
        <v>1697</v>
      </c>
    </row>
    <row r="112" spans="1:18" ht="41.4" x14ac:dyDescent="0.3">
      <c r="A112" s="70" t="s">
        <v>1619</v>
      </c>
      <c r="B112" s="68" t="s">
        <v>1496</v>
      </c>
      <c r="C112" s="69" t="s">
        <v>1629</v>
      </c>
      <c r="D112" s="68" t="s">
        <v>79</v>
      </c>
      <c r="E112" s="68">
        <v>10</v>
      </c>
      <c r="F112" s="68" t="s">
        <v>121</v>
      </c>
      <c r="G112" s="68" t="s">
        <v>1733</v>
      </c>
      <c r="H112" s="68" t="s">
        <v>122</v>
      </c>
      <c r="I112" s="72">
        <v>10</v>
      </c>
      <c r="J112" s="72"/>
      <c r="K112" s="84">
        <v>0.5</v>
      </c>
      <c r="L112" s="71" t="s">
        <v>342</v>
      </c>
      <c r="M112" s="71" t="s">
        <v>1182</v>
      </c>
      <c r="N112" s="68" t="s">
        <v>80</v>
      </c>
      <c r="O112" s="68"/>
      <c r="P112" s="68" t="s">
        <v>1183</v>
      </c>
      <c r="Q112" s="68" t="s">
        <v>1184</v>
      </c>
      <c r="R112" s="68" t="s">
        <v>1697</v>
      </c>
    </row>
    <row r="113" spans="1:18" ht="41.4" x14ac:dyDescent="0.3">
      <c r="A113" s="70" t="s">
        <v>1619</v>
      </c>
      <c r="B113" s="68" t="s">
        <v>1496</v>
      </c>
      <c r="C113" s="69" t="s">
        <v>1629</v>
      </c>
      <c r="D113" s="68" t="s">
        <v>79</v>
      </c>
      <c r="E113" s="68">
        <v>20</v>
      </c>
      <c r="F113" s="68" t="s">
        <v>123</v>
      </c>
      <c r="G113" s="68" t="s">
        <v>1734</v>
      </c>
      <c r="H113" s="68" t="s">
        <v>124</v>
      </c>
      <c r="I113" s="72">
        <v>11</v>
      </c>
      <c r="J113" s="72"/>
      <c r="K113" s="84">
        <v>0.75</v>
      </c>
      <c r="L113" s="71" t="s">
        <v>342</v>
      </c>
      <c r="M113" s="71" t="s">
        <v>1182</v>
      </c>
      <c r="N113" s="68" t="s">
        <v>80</v>
      </c>
      <c r="O113" s="68"/>
      <c r="P113" s="68" t="s">
        <v>1699</v>
      </c>
      <c r="Q113" s="68" t="s">
        <v>1187</v>
      </c>
      <c r="R113" s="68" t="s">
        <v>1697</v>
      </c>
    </row>
    <row r="114" spans="1:18" ht="41.4" x14ac:dyDescent="0.3">
      <c r="A114" s="70" t="s">
        <v>1619</v>
      </c>
      <c r="B114" s="68" t="s">
        <v>1496</v>
      </c>
      <c r="C114" s="69" t="s">
        <v>1629</v>
      </c>
      <c r="D114" s="68" t="s">
        <v>79</v>
      </c>
      <c r="E114" s="68">
        <v>30</v>
      </c>
      <c r="F114" s="68" t="s">
        <v>125</v>
      </c>
      <c r="G114" s="68" t="s">
        <v>1735</v>
      </c>
      <c r="H114" s="68" t="s">
        <v>127</v>
      </c>
      <c r="I114" s="72">
        <v>12</v>
      </c>
      <c r="J114" s="72"/>
      <c r="K114" s="84">
        <v>0.3</v>
      </c>
      <c r="L114" s="71" t="s">
        <v>342</v>
      </c>
      <c r="M114" s="71" t="s">
        <v>1188</v>
      </c>
      <c r="N114" s="68" t="s">
        <v>80</v>
      </c>
      <c r="O114" s="68"/>
      <c r="P114" s="68" t="s">
        <v>1189</v>
      </c>
      <c r="Q114" s="68" t="s">
        <v>1701</v>
      </c>
      <c r="R114" s="68" t="s">
        <v>1697</v>
      </c>
    </row>
    <row r="115" spans="1:18" ht="41.4" x14ac:dyDescent="0.3">
      <c r="A115" s="70" t="s">
        <v>1619</v>
      </c>
      <c r="B115" s="68" t="s">
        <v>1496</v>
      </c>
      <c r="C115" s="69" t="s">
        <v>1629</v>
      </c>
      <c r="D115" s="68" t="s">
        <v>79</v>
      </c>
      <c r="E115" s="68">
        <v>40</v>
      </c>
      <c r="F115" s="68" t="s">
        <v>129</v>
      </c>
      <c r="G115" s="68" t="s">
        <v>1736</v>
      </c>
      <c r="H115" s="68" t="s">
        <v>127</v>
      </c>
      <c r="I115" s="72">
        <v>13</v>
      </c>
      <c r="J115" s="72"/>
      <c r="K115" s="84">
        <v>4</v>
      </c>
      <c r="L115" s="71" t="s">
        <v>342</v>
      </c>
      <c r="M115" s="71" t="s">
        <v>343</v>
      </c>
      <c r="N115" s="68" t="s">
        <v>80</v>
      </c>
      <c r="O115" s="68"/>
      <c r="P115" s="68" t="s">
        <v>1705</v>
      </c>
      <c r="Q115" s="68" t="s">
        <v>1195</v>
      </c>
      <c r="R115" s="68" t="s">
        <v>1697</v>
      </c>
    </row>
    <row r="116" spans="1:18" ht="41.4" x14ac:dyDescent="0.3">
      <c r="A116" s="70" t="s">
        <v>1619</v>
      </c>
      <c r="B116" s="68" t="s">
        <v>1496</v>
      </c>
      <c r="C116" s="69" t="s">
        <v>1629</v>
      </c>
      <c r="D116" s="68" t="s">
        <v>79</v>
      </c>
      <c r="E116" s="68">
        <v>50</v>
      </c>
      <c r="F116" s="68" t="s">
        <v>136</v>
      </c>
      <c r="G116" s="68" t="s">
        <v>1737</v>
      </c>
      <c r="H116" s="68" t="s">
        <v>137</v>
      </c>
      <c r="I116" s="72">
        <v>14</v>
      </c>
      <c r="J116" s="72"/>
      <c r="K116" s="84">
        <v>1.5</v>
      </c>
      <c r="L116" s="71" t="s">
        <v>342</v>
      </c>
      <c r="M116" s="71" t="s">
        <v>343</v>
      </c>
      <c r="N116" s="68" t="s">
        <v>80</v>
      </c>
      <c r="O116" s="68"/>
      <c r="P116" s="68" t="s">
        <v>1719</v>
      </c>
      <c r="Q116" s="68" t="s">
        <v>1207</v>
      </c>
      <c r="R116" s="68" t="s">
        <v>1697</v>
      </c>
    </row>
    <row r="117" spans="1:18" ht="41.4" x14ac:dyDescent="0.3">
      <c r="A117" s="70" t="s">
        <v>1619</v>
      </c>
      <c r="B117" s="68" t="s">
        <v>1496</v>
      </c>
      <c r="C117" s="69" t="s">
        <v>1629</v>
      </c>
      <c r="D117" s="68" t="s">
        <v>79</v>
      </c>
      <c r="E117" s="68">
        <v>60</v>
      </c>
      <c r="F117" s="68" t="s">
        <v>135</v>
      </c>
      <c r="G117" s="68" t="s">
        <v>1738</v>
      </c>
      <c r="H117" s="68" t="s">
        <v>124</v>
      </c>
      <c r="I117" s="72">
        <v>25</v>
      </c>
      <c r="J117" s="72"/>
      <c r="K117" s="84">
        <v>0.75</v>
      </c>
      <c r="L117" s="71" t="s">
        <v>342</v>
      </c>
      <c r="M117" s="71" t="s">
        <v>343</v>
      </c>
      <c r="N117" s="68" t="s">
        <v>80</v>
      </c>
      <c r="O117" s="68"/>
      <c r="P117" s="68" t="s">
        <v>1713</v>
      </c>
      <c r="Q117" s="68" t="s">
        <v>1201</v>
      </c>
      <c r="R117" s="68" t="s">
        <v>1697</v>
      </c>
    </row>
    <row r="118" spans="1:18" ht="41.4" x14ac:dyDescent="0.3">
      <c r="A118" s="70" t="s">
        <v>1619</v>
      </c>
      <c r="B118" s="68" t="s">
        <v>1507</v>
      </c>
      <c r="C118" s="69" t="s">
        <v>1632</v>
      </c>
      <c r="D118" s="68" t="s">
        <v>79</v>
      </c>
      <c r="E118" s="68">
        <v>10</v>
      </c>
      <c r="F118" s="68" t="s">
        <v>121</v>
      </c>
      <c r="G118" s="68" t="s">
        <v>1739</v>
      </c>
      <c r="H118" s="68" t="s">
        <v>122</v>
      </c>
      <c r="I118" s="72">
        <v>10</v>
      </c>
      <c r="J118" s="72"/>
      <c r="K118" s="84">
        <v>0.5</v>
      </c>
      <c r="L118" s="71" t="s">
        <v>342</v>
      </c>
      <c r="M118" s="71" t="s">
        <v>1182</v>
      </c>
      <c r="N118" s="68" t="s">
        <v>80</v>
      </c>
      <c r="O118" s="68"/>
      <c r="P118" s="68" t="s">
        <v>1183</v>
      </c>
      <c r="Q118" s="68" t="s">
        <v>1184</v>
      </c>
      <c r="R118" s="68" t="s">
        <v>1697</v>
      </c>
    </row>
    <row r="119" spans="1:18" ht="41.4" x14ac:dyDescent="0.3">
      <c r="A119" s="70" t="s">
        <v>1619</v>
      </c>
      <c r="B119" s="68" t="s">
        <v>1507</v>
      </c>
      <c r="C119" s="69" t="s">
        <v>1632</v>
      </c>
      <c r="D119" s="68" t="s">
        <v>79</v>
      </c>
      <c r="E119" s="68">
        <v>20</v>
      </c>
      <c r="F119" s="68" t="s">
        <v>123</v>
      </c>
      <c r="G119" s="68" t="s">
        <v>1740</v>
      </c>
      <c r="H119" s="68" t="s">
        <v>124</v>
      </c>
      <c r="I119" s="72">
        <v>11</v>
      </c>
      <c r="J119" s="72"/>
      <c r="K119" s="84">
        <v>0.75</v>
      </c>
      <c r="L119" s="71" t="s">
        <v>342</v>
      </c>
      <c r="M119" s="71" t="s">
        <v>1182</v>
      </c>
      <c r="N119" s="68" t="s">
        <v>80</v>
      </c>
      <c r="O119" s="68"/>
      <c r="P119" s="68" t="s">
        <v>1699</v>
      </c>
      <c r="Q119" s="68" t="s">
        <v>1187</v>
      </c>
      <c r="R119" s="68" t="s">
        <v>1697</v>
      </c>
    </row>
    <row r="120" spans="1:18" ht="41.4" x14ac:dyDescent="0.3">
      <c r="A120" s="70" t="s">
        <v>1619</v>
      </c>
      <c r="B120" s="68" t="s">
        <v>1507</v>
      </c>
      <c r="C120" s="69" t="s">
        <v>1632</v>
      </c>
      <c r="D120" s="68" t="s">
        <v>79</v>
      </c>
      <c r="E120" s="68">
        <v>30</v>
      </c>
      <c r="F120" s="68" t="s">
        <v>135</v>
      </c>
      <c r="G120" s="68" t="s">
        <v>1741</v>
      </c>
      <c r="H120" s="68" t="s">
        <v>124</v>
      </c>
      <c r="I120" s="72">
        <v>25</v>
      </c>
      <c r="J120" s="72"/>
      <c r="K120" s="84">
        <v>0.75</v>
      </c>
      <c r="L120" s="71" t="s">
        <v>342</v>
      </c>
      <c r="M120" s="71" t="s">
        <v>343</v>
      </c>
      <c r="N120" s="68" t="s">
        <v>80</v>
      </c>
      <c r="O120" s="68"/>
      <c r="P120" s="68" t="s">
        <v>1713</v>
      </c>
      <c r="Q120" s="68" t="s">
        <v>1201</v>
      </c>
      <c r="R120" s="68" t="s">
        <v>1697</v>
      </c>
    </row>
    <row r="121" spans="1:18" ht="41.4" x14ac:dyDescent="0.3">
      <c r="A121" s="70" t="s">
        <v>1619</v>
      </c>
      <c r="B121" s="68" t="s">
        <v>1511</v>
      </c>
      <c r="C121" s="69" t="s">
        <v>1636</v>
      </c>
      <c r="D121" s="68" t="s">
        <v>79</v>
      </c>
      <c r="E121" s="68">
        <v>10</v>
      </c>
      <c r="F121" s="68" t="s">
        <v>121</v>
      </c>
      <c r="G121" s="68" t="s">
        <v>1742</v>
      </c>
      <c r="H121" s="68" t="s">
        <v>122</v>
      </c>
      <c r="I121" s="72">
        <v>10</v>
      </c>
      <c r="J121" s="72"/>
      <c r="K121" s="84">
        <v>0.5</v>
      </c>
      <c r="L121" s="71" t="s">
        <v>342</v>
      </c>
      <c r="M121" s="71" t="s">
        <v>1182</v>
      </c>
      <c r="N121" s="68" t="s">
        <v>80</v>
      </c>
      <c r="O121" s="68"/>
      <c r="P121" s="68" t="s">
        <v>1183</v>
      </c>
      <c r="Q121" s="68" t="s">
        <v>1184</v>
      </c>
      <c r="R121" s="68" t="s">
        <v>1697</v>
      </c>
    </row>
    <row r="122" spans="1:18" ht="41.4" x14ac:dyDescent="0.3">
      <c r="A122" s="70" t="s">
        <v>1619</v>
      </c>
      <c r="B122" s="68" t="s">
        <v>1511</v>
      </c>
      <c r="C122" s="69" t="s">
        <v>1636</v>
      </c>
      <c r="D122" s="68" t="s">
        <v>79</v>
      </c>
      <c r="E122" s="68">
        <v>20</v>
      </c>
      <c r="F122" s="68" t="s">
        <v>123</v>
      </c>
      <c r="G122" s="68" t="s">
        <v>1743</v>
      </c>
      <c r="H122" s="68" t="s">
        <v>124</v>
      </c>
      <c r="I122" s="72">
        <v>11</v>
      </c>
      <c r="J122" s="72"/>
      <c r="K122" s="84">
        <v>0.75</v>
      </c>
      <c r="L122" s="71" t="s">
        <v>342</v>
      </c>
      <c r="M122" s="71" t="s">
        <v>1182</v>
      </c>
      <c r="N122" s="68" t="s">
        <v>80</v>
      </c>
      <c r="O122" s="68"/>
      <c r="P122" s="68" t="s">
        <v>1699</v>
      </c>
      <c r="Q122" s="68" t="s">
        <v>1187</v>
      </c>
      <c r="R122" s="68" t="s">
        <v>1697</v>
      </c>
    </row>
    <row r="123" spans="1:18" ht="41.4" x14ac:dyDescent="0.3">
      <c r="A123" s="70" t="s">
        <v>1619</v>
      </c>
      <c r="B123" s="68" t="s">
        <v>1511</v>
      </c>
      <c r="C123" s="69" t="s">
        <v>1636</v>
      </c>
      <c r="D123" s="68" t="s">
        <v>79</v>
      </c>
      <c r="E123" s="68">
        <v>30</v>
      </c>
      <c r="F123" s="68" t="s">
        <v>125</v>
      </c>
      <c r="G123" s="68" t="s">
        <v>1744</v>
      </c>
      <c r="H123" s="68" t="s">
        <v>127</v>
      </c>
      <c r="I123" s="72">
        <v>12</v>
      </c>
      <c r="J123" s="72"/>
      <c r="K123" s="84">
        <v>0.3</v>
      </c>
      <c r="L123" s="71" t="s">
        <v>342</v>
      </c>
      <c r="M123" s="71" t="s">
        <v>1188</v>
      </c>
      <c r="N123" s="68" t="s">
        <v>80</v>
      </c>
      <c r="O123" s="68"/>
      <c r="P123" s="68" t="s">
        <v>1189</v>
      </c>
      <c r="Q123" s="68" t="s">
        <v>1701</v>
      </c>
      <c r="R123" s="68" t="s">
        <v>1697</v>
      </c>
    </row>
    <row r="124" spans="1:18" ht="41.4" x14ac:dyDescent="0.3">
      <c r="A124" s="70" t="s">
        <v>1619</v>
      </c>
      <c r="B124" s="68" t="s">
        <v>1511</v>
      </c>
      <c r="C124" s="69" t="s">
        <v>1636</v>
      </c>
      <c r="D124" s="68" t="s">
        <v>79</v>
      </c>
      <c r="E124" s="68">
        <v>40</v>
      </c>
      <c r="F124" s="68" t="s">
        <v>136</v>
      </c>
      <c r="G124" s="68" t="s">
        <v>1745</v>
      </c>
      <c r="H124" s="68" t="s">
        <v>137</v>
      </c>
      <c r="I124" s="72">
        <v>14</v>
      </c>
      <c r="J124" s="72"/>
      <c r="K124" s="84">
        <v>2</v>
      </c>
      <c r="L124" s="71" t="s">
        <v>342</v>
      </c>
      <c r="M124" s="71" t="s">
        <v>343</v>
      </c>
      <c r="N124" s="68" t="s">
        <v>80</v>
      </c>
      <c r="O124" s="68"/>
      <c r="P124" s="68" t="s">
        <v>1719</v>
      </c>
      <c r="Q124" s="68" t="s">
        <v>1207</v>
      </c>
      <c r="R124" s="68" t="s">
        <v>1697</v>
      </c>
    </row>
    <row r="125" spans="1:18" ht="41.4" x14ac:dyDescent="0.3">
      <c r="A125" s="70" t="s">
        <v>1619</v>
      </c>
      <c r="B125" s="68" t="s">
        <v>1511</v>
      </c>
      <c r="C125" s="69" t="s">
        <v>1636</v>
      </c>
      <c r="D125" s="68" t="s">
        <v>79</v>
      </c>
      <c r="E125" s="68">
        <v>50</v>
      </c>
      <c r="F125" s="68" t="s">
        <v>128</v>
      </c>
      <c r="G125" s="68" t="s">
        <v>1746</v>
      </c>
      <c r="H125" s="68" t="s">
        <v>127</v>
      </c>
      <c r="I125" s="72">
        <v>12</v>
      </c>
      <c r="J125" s="72"/>
      <c r="K125" s="84">
        <v>0.35</v>
      </c>
      <c r="L125" s="71" t="s">
        <v>342</v>
      </c>
      <c r="M125" s="71" t="s">
        <v>1191</v>
      </c>
      <c r="N125" s="68" t="s">
        <v>80</v>
      </c>
      <c r="O125" s="68"/>
      <c r="P125" s="68" t="s">
        <v>1192</v>
      </c>
      <c r="Q125" s="68" t="s">
        <v>1703</v>
      </c>
      <c r="R125" s="68" t="s">
        <v>1697</v>
      </c>
    </row>
    <row r="126" spans="1:18" ht="41.4" x14ac:dyDescent="0.3">
      <c r="A126" s="70" t="s">
        <v>1619</v>
      </c>
      <c r="B126" s="68" t="s">
        <v>1511</v>
      </c>
      <c r="C126" s="69" t="s">
        <v>1636</v>
      </c>
      <c r="D126" s="68" t="s">
        <v>79</v>
      </c>
      <c r="E126" s="68">
        <v>60</v>
      </c>
      <c r="F126" s="68" t="s">
        <v>135</v>
      </c>
      <c r="G126" s="68" t="s">
        <v>1747</v>
      </c>
      <c r="H126" s="68" t="s">
        <v>124</v>
      </c>
      <c r="I126" s="72">
        <v>25</v>
      </c>
      <c r="J126" s="72"/>
      <c r="K126" s="84">
        <v>0.75</v>
      </c>
      <c r="L126" s="71" t="s">
        <v>342</v>
      </c>
      <c r="M126" s="71" t="s">
        <v>343</v>
      </c>
      <c r="N126" s="68" t="s">
        <v>80</v>
      </c>
      <c r="O126" s="68"/>
      <c r="P126" s="68" t="s">
        <v>1713</v>
      </c>
      <c r="Q126" s="68" t="s">
        <v>1201</v>
      </c>
      <c r="R126" s="68" t="s">
        <v>1697</v>
      </c>
    </row>
    <row r="127" spans="1:18" ht="41.4" x14ac:dyDescent="0.3">
      <c r="A127" s="70" t="s">
        <v>1619</v>
      </c>
      <c r="B127" s="68" t="s">
        <v>1524</v>
      </c>
      <c r="C127" s="69" t="s">
        <v>1638</v>
      </c>
      <c r="D127" s="68" t="s">
        <v>79</v>
      </c>
      <c r="E127" s="68">
        <v>10</v>
      </c>
      <c r="F127" s="68" t="s">
        <v>121</v>
      </c>
      <c r="G127" s="68" t="s">
        <v>1748</v>
      </c>
      <c r="H127" s="68" t="s">
        <v>122</v>
      </c>
      <c r="I127" s="72">
        <v>10</v>
      </c>
      <c r="J127" s="72"/>
      <c r="K127" s="84">
        <v>0.5</v>
      </c>
      <c r="L127" s="71" t="s">
        <v>342</v>
      </c>
      <c r="M127" s="71" t="s">
        <v>1182</v>
      </c>
      <c r="N127" s="68" t="s">
        <v>80</v>
      </c>
      <c r="O127" s="68"/>
      <c r="P127" s="68" t="s">
        <v>1183</v>
      </c>
      <c r="Q127" s="68" t="s">
        <v>1184</v>
      </c>
      <c r="R127" s="68" t="s">
        <v>1697</v>
      </c>
    </row>
    <row r="128" spans="1:18" ht="41.4" x14ac:dyDescent="0.3">
      <c r="A128" s="70" t="s">
        <v>1619</v>
      </c>
      <c r="B128" s="68" t="s">
        <v>1524</v>
      </c>
      <c r="C128" s="69" t="s">
        <v>1638</v>
      </c>
      <c r="D128" s="68" t="s">
        <v>79</v>
      </c>
      <c r="E128" s="68">
        <v>20</v>
      </c>
      <c r="F128" s="68" t="s">
        <v>123</v>
      </c>
      <c r="G128" s="68" t="s">
        <v>1749</v>
      </c>
      <c r="H128" s="68" t="s">
        <v>124</v>
      </c>
      <c r="I128" s="72">
        <v>11</v>
      </c>
      <c r="J128" s="72"/>
      <c r="K128" s="84">
        <v>0.75</v>
      </c>
      <c r="L128" s="71" t="s">
        <v>342</v>
      </c>
      <c r="M128" s="71" t="s">
        <v>1182</v>
      </c>
      <c r="N128" s="68" t="s">
        <v>80</v>
      </c>
      <c r="O128" s="68"/>
      <c r="P128" s="68" t="s">
        <v>1699</v>
      </c>
      <c r="Q128" s="68" t="s">
        <v>1187</v>
      </c>
      <c r="R128" s="68" t="s">
        <v>1697</v>
      </c>
    </row>
    <row r="129" spans="1:18" ht="41.4" x14ac:dyDescent="0.3">
      <c r="A129" s="70" t="s">
        <v>1619</v>
      </c>
      <c r="B129" s="68" t="s">
        <v>1524</v>
      </c>
      <c r="C129" s="69" t="s">
        <v>1638</v>
      </c>
      <c r="D129" s="68" t="s">
        <v>79</v>
      </c>
      <c r="E129" s="68">
        <v>30</v>
      </c>
      <c r="F129" s="68" t="s">
        <v>136</v>
      </c>
      <c r="G129" s="68" t="s">
        <v>1750</v>
      </c>
      <c r="H129" s="68" t="s">
        <v>137</v>
      </c>
      <c r="I129" s="72">
        <v>14</v>
      </c>
      <c r="J129" s="72"/>
      <c r="K129" s="84">
        <v>2</v>
      </c>
      <c r="L129" s="71" t="s">
        <v>342</v>
      </c>
      <c r="M129" s="71" t="s">
        <v>343</v>
      </c>
      <c r="N129" s="68" t="s">
        <v>80</v>
      </c>
      <c r="O129" s="68"/>
      <c r="P129" s="68" t="s">
        <v>1719</v>
      </c>
      <c r="Q129" s="68" t="s">
        <v>1207</v>
      </c>
      <c r="R129" s="68" t="s">
        <v>1697</v>
      </c>
    </row>
    <row r="130" spans="1:18" ht="41.4" x14ac:dyDescent="0.3">
      <c r="A130" s="70" t="s">
        <v>1619</v>
      </c>
      <c r="B130" s="68" t="s">
        <v>1524</v>
      </c>
      <c r="C130" s="69" t="s">
        <v>1638</v>
      </c>
      <c r="D130" s="68" t="s">
        <v>79</v>
      </c>
      <c r="E130" s="68">
        <v>40</v>
      </c>
      <c r="F130" s="68" t="s">
        <v>135</v>
      </c>
      <c r="G130" s="68" t="s">
        <v>1751</v>
      </c>
      <c r="H130" s="68" t="s">
        <v>124</v>
      </c>
      <c r="I130" s="72">
        <v>25</v>
      </c>
      <c r="J130" s="72"/>
      <c r="K130" s="84">
        <v>0.75</v>
      </c>
      <c r="L130" s="71" t="s">
        <v>342</v>
      </c>
      <c r="M130" s="71" t="s">
        <v>343</v>
      </c>
      <c r="N130" s="68" t="s">
        <v>80</v>
      </c>
      <c r="O130" s="68"/>
      <c r="P130" s="68" t="s">
        <v>1713</v>
      </c>
      <c r="Q130" s="68" t="s">
        <v>1201</v>
      </c>
      <c r="R130" s="68" t="s">
        <v>1697</v>
      </c>
    </row>
    <row r="131" spans="1:18" ht="41.4" x14ac:dyDescent="0.3">
      <c r="A131" s="70" t="s">
        <v>1619</v>
      </c>
      <c r="B131" s="68" t="s">
        <v>1527</v>
      </c>
      <c r="C131" s="69" t="s">
        <v>1641</v>
      </c>
      <c r="D131" s="68" t="s">
        <v>79</v>
      </c>
      <c r="E131" s="68">
        <v>10</v>
      </c>
      <c r="F131" s="68" t="s">
        <v>121</v>
      </c>
      <c r="G131" s="68" t="s">
        <v>1752</v>
      </c>
      <c r="H131" s="68" t="s">
        <v>122</v>
      </c>
      <c r="I131" s="72">
        <v>10</v>
      </c>
      <c r="J131" s="72"/>
      <c r="K131" s="84">
        <v>0.5</v>
      </c>
      <c r="L131" s="71" t="s">
        <v>342</v>
      </c>
      <c r="M131" s="71" t="s">
        <v>1182</v>
      </c>
      <c r="N131" s="68" t="s">
        <v>80</v>
      </c>
      <c r="O131" s="68"/>
      <c r="P131" s="68" t="s">
        <v>1183</v>
      </c>
      <c r="Q131" s="68" t="s">
        <v>1184</v>
      </c>
      <c r="R131" s="68" t="s">
        <v>1697</v>
      </c>
    </row>
    <row r="132" spans="1:18" ht="41.4" x14ac:dyDescent="0.3">
      <c r="A132" s="70" t="s">
        <v>1619</v>
      </c>
      <c r="B132" s="68" t="s">
        <v>1527</v>
      </c>
      <c r="C132" s="69" t="s">
        <v>1641</v>
      </c>
      <c r="D132" s="68" t="s">
        <v>79</v>
      </c>
      <c r="E132" s="68">
        <v>20</v>
      </c>
      <c r="F132" s="68" t="s">
        <v>123</v>
      </c>
      <c r="G132" s="68" t="s">
        <v>1753</v>
      </c>
      <c r="H132" s="68" t="s">
        <v>124</v>
      </c>
      <c r="I132" s="72">
        <v>11</v>
      </c>
      <c r="J132" s="72"/>
      <c r="K132" s="84">
        <v>0.75</v>
      </c>
      <c r="L132" s="71" t="s">
        <v>342</v>
      </c>
      <c r="M132" s="71" t="s">
        <v>1182</v>
      </c>
      <c r="N132" s="68" t="s">
        <v>80</v>
      </c>
      <c r="O132" s="68"/>
      <c r="P132" s="68" t="s">
        <v>1699</v>
      </c>
      <c r="Q132" s="68" t="s">
        <v>1187</v>
      </c>
      <c r="R132" s="68" t="s">
        <v>1697</v>
      </c>
    </row>
    <row r="133" spans="1:18" ht="41.4" x14ac:dyDescent="0.3">
      <c r="A133" s="70" t="s">
        <v>1619</v>
      </c>
      <c r="B133" s="68" t="s">
        <v>1527</v>
      </c>
      <c r="C133" s="69" t="s">
        <v>1641</v>
      </c>
      <c r="D133" s="68" t="s">
        <v>79</v>
      </c>
      <c r="E133" s="68">
        <v>30</v>
      </c>
      <c r="F133" s="68" t="s">
        <v>136</v>
      </c>
      <c r="G133" s="68" t="s">
        <v>1754</v>
      </c>
      <c r="H133" s="68" t="s">
        <v>137</v>
      </c>
      <c r="I133" s="72">
        <v>14</v>
      </c>
      <c r="J133" s="72"/>
      <c r="K133" s="84">
        <v>2</v>
      </c>
      <c r="L133" s="71" t="s">
        <v>342</v>
      </c>
      <c r="M133" s="71" t="s">
        <v>343</v>
      </c>
      <c r="N133" s="68" t="s">
        <v>80</v>
      </c>
      <c r="O133" s="68"/>
      <c r="P133" s="68" t="s">
        <v>1719</v>
      </c>
      <c r="Q133" s="68" t="s">
        <v>1207</v>
      </c>
      <c r="R133" s="68" t="s">
        <v>1697</v>
      </c>
    </row>
    <row r="134" spans="1:18" ht="41.4" x14ac:dyDescent="0.3">
      <c r="A134" s="70" t="s">
        <v>1619</v>
      </c>
      <c r="B134" s="68" t="s">
        <v>1527</v>
      </c>
      <c r="C134" s="69" t="s">
        <v>1641</v>
      </c>
      <c r="D134" s="68" t="s">
        <v>79</v>
      </c>
      <c r="E134" s="68">
        <v>40</v>
      </c>
      <c r="F134" s="68" t="s">
        <v>135</v>
      </c>
      <c r="G134" s="68" t="s">
        <v>1755</v>
      </c>
      <c r="H134" s="68" t="s">
        <v>124</v>
      </c>
      <c r="I134" s="72">
        <v>25</v>
      </c>
      <c r="J134" s="72"/>
      <c r="K134" s="84">
        <v>0.75</v>
      </c>
      <c r="L134" s="71" t="s">
        <v>342</v>
      </c>
      <c r="M134" s="71" t="s">
        <v>343</v>
      </c>
      <c r="N134" s="68" t="s">
        <v>80</v>
      </c>
      <c r="O134" s="68"/>
      <c r="P134" s="68" t="s">
        <v>1713</v>
      </c>
      <c r="Q134" s="68" t="s">
        <v>1201</v>
      </c>
      <c r="R134" s="68" t="s">
        <v>1697</v>
      </c>
    </row>
    <row r="135" spans="1:18" ht="41.4" x14ac:dyDescent="0.3">
      <c r="A135" s="70" t="s">
        <v>1619</v>
      </c>
      <c r="B135" s="68" t="s">
        <v>1533</v>
      </c>
      <c r="C135" s="69" t="s">
        <v>1644</v>
      </c>
      <c r="D135" s="68" t="s">
        <v>79</v>
      </c>
      <c r="E135" s="68">
        <v>10</v>
      </c>
      <c r="F135" s="68" t="s">
        <v>121</v>
      </c>
      <c r="G135" s="68" t="s">
        <v>1756</v>
      </c>
      <c r="H135" s="68" t="s">
        <v>122</v>
      </c>
      <c r="I135" s="72">
        <v>10</v>
      </c>
      <c r="J135" s="72"/>
      <c r="K135" s="84">
        <v>0.5</v>
      </c>
      <c r="L135" s="71" t="s">
        <v>342</v>
      </c>
      <c r="M135" s="71" t="s">
        <v>1182</v>
      </c>
      <c r="N135" s="68" t="s">
        <v>80</v>
      </c>
      <c r="O135" s="68"/>
      <c r="P135" s="68" t="s">
        <v>1183</v>
      </c>
      <c r="Q135" s="68" t="s">
        <v>1184</v>
      </c>
      <c r="R135" s="68" t="s">
        <v>1697</v>
      </c>
    </row>
    <row r="136" spans="1:18" ht="41.4" x14ac:dyDescent="0.3">
      <c r="A136" s="70" t="s">
        <v>1619</v>
      </c>
      <c r="B136" s="68" t="s">
        <v>1533</v>
      </c>
      <c r="C136" s="69" t="s">
        <v>1644</v>
      </c>
      <c r="D136" s="68" t="s">
        <v>79</v>
      </c>
      <c r="E136" s="68">
        <v>20</v>
      </c>
      <c r="F136" s="68" t="s">
        <v>123</v>
      </c>
      <c r="G136" s="68" t="s">
        <v>1757</v>
      </c>
      <c r="H136" s="68" t="s">
        <v>124</v>
      </c>
      <c r="I136" s="72">
        <v>11</v>
      </c>
      <c r="J136" s="72"/>
      <c r="K136" s="84">
        <v>0.75</v>
      </c>
      <c r="L136" s="71" t="s">
        <v>342</v>
      </c>
      <c r="M136" s="71" t="s">
        <v>1182</v>
      </c>
      <c r="N136" s="68" t="s">
        <v>80</v>
      </c>
      <c r="O136" s="68"/>
      <c r="P136" s="68" t="s">
        <v>1699</v>
      </c>
      <c r="Q136" s="68" t="s">
        <v>1187</v>
      </c>
      <c r="R136" s="68" t="s">
        <v>1697</v>
      </c>
    </row>
    <row r="137" spans="1:18" ht="41.4" x14ac:dyDescent="0.3">
      <c r="A137" s="70" t="s">
        <v>1619</v>
      </c>
      <c r="B137" s="68" t="s">
        <v>1533</v>
      </c>
      <c r="C137" s="69" t="s">
        <v>1644</v>
      </c>
      <c r="D137" s="68" t="s">
        <v>79</v>
      </c>
      <c r="E137" s="68">
        <v>30</v>
      </c>
      <c r="F137" s="68" t="s">
        <v>135</v>
      </c>
      <c r="G137" s="68" t="s">
        <v>1758</v>
      </c>
      <c r="H137" s="68" t="s">
        <v>124</v>
      </c>
      <c r="I137" s="72">
        <v>25</v>
      </c>
      <c r="J137" s="72"/>
      <c r="K137" s="84">
        <v>0.75</v>
      </c>
      <c r="L137" s="71" t="s">
        <v>342</v>
      </c>
      <c r="M137" s="71" t="s">
        <v>343</v>
      </c>
      <c r="N137" s="68" t="s">
        <v>80</v>
      </c>
      <c r="O137" s="68"/>
      <c r="P137" s="68" t="s">
        <v>1713</v>
      </c>
      <c r="Q137" s="68" t="s">
        <v>1201</v>
      </c>
      <c r="R137" s="68" t="s">
        <v>1697</v>
      </c>
    </row>
    <row r="138" spans="1:18" ht="41.4" x14ac:dyDescent="0.3">
      <c r="A138" s="70" t="s">
        <v>1619</v>
      </c>
      <c r="B138" s="68" t="s">
        <v>1543</v>
      </c>
      <c r="C138" s="69" t="s">
        <v>1647</v>
      </c>
      <c r="D138" s="68" t="s">
        <v>79</v>
      </c>
      <c r="E138" s="68">
        <v>10</v>
      </c>
      <c r="F138" s="68" t="s">
        <v>121</v>
      </c>
      <c r="G138" s="68" t="s">
        <v>1759</v>
      </c>
      <c r="H138" s="68" t="s">
        <v>122</v>
      </c>
      <c r="I138" s="72">
        <v>10</v>
      </c>
      <c r="J138" s="72"/>
      <c r="K138" s="84">
        <v>0.5</v>
      </c>
      <c r="L138" s="71" t="s">
        <v>342</v>
      </c>
      <c r="M138" s="71" t="s">
        <v>1182</v>
      </c>
      <c r="N138" s="68" t="s">
        <v>80</v>
      </c>
      <c r="O138" s="68"/>
      <c r="P138" s="68" t="s">
        <v>1183</v>
      </c>
      <c r="Q138" s="68" t="s">
        <v>1184</v>
      </c>
      <c r="R138" s="68" t="s">
        <v>1697</v>
      </c>
    </row>
    <row r="139" spans="1:18" ht="41.4" x14ac:dyDescent="0.3">
      <c r="A139" s="70" t="s">
        <v>1619</v>
      </c>
      <c r="B139" s="68" t="s">
        <v>1543</v>
      </c>
      <c r="C139" s="69" t="s">
        <v>1647</v>
      </c>
      <c r="D139" s="68" t="s">
        <v>79</v>
      </c>
      <c r="E139" s="68">
        <v>20</v>
      </c>
      <c r="F139" s="68" t="s">
        <v>123</v>
      </c>
      <c r="G139" s="68" t="s">
        <v>1760</v>
      </c>
      <c r="H139" s="68" t="s">
        <v>124</v>
      </c>
      <c r="I139" s="72">
        <v>11</v>
      </c>
      <c r="J139" s="72"/>
      <c r="K139" s="84">
        <v>0.75</v>
      </c>
      <c r="L139" s="71" t="s">
        <v>342</v>
      </c>
      <c r="M139" s="71" t="s">
        <v>1182</v>
      </c>
      <c r="N139" s="68" t="s">
        <v>80</v>
      </c>
      <c r="O139" s="68"/>
      <c r="P139" s="68" t="s">
        <v>1699</v>
      </c>
      <c r="Q139" s="68" t="s">
        <v>1187</v>
      </c>
      <c r="R139" s="68" t="s">
        <v>1697</v>
      </c>
    </row>
    <row r="140" spans="1:18" ht="41.4" x14ac:dyDescent="0.3">
      <c r="A140" s="70" t="s">
        <v>1619</v>
      </c>
      <c r="B140" s="68" t="s">
        <v>1543</v>
      </c>
      <c r="C140" s="69" t="s">
        <v>1647</v>
      </c>
      <c r="D140" s="68" t="s">
        <v>79</v>
      </c>
      <c r="E140" s="68">
        <v>30</v>
      </c>
      <c r="F140" s="68" t="s">
        <v>125</v>
      </c>
      <c r="G140" s="68" t="s">
        <v>1761</v>
      </c>
      <c r="H140" s="68" t="s">
        <v>127</v>
      </c>
      <c r="I140" s="72">
        <v>12</v>
      </c>
      <c r="J140" s="72"/>
      <c r="K140" s="84">
        <v>0.3</v>
      </c>
      <c r="L140" s="71" t="s">
        <v>342</v>
      </c>
      <c r="M140" s="71" t="s">
        <v>1188</v>
      </c>
      <c r="N140" s="68" t="s">
        <v>80</v>
      </c>
      <c r="O140" s="68"/>
      <c r="P140" s="68" t="s">
        <v>1189</v>
      </c>
      <c r="Q140" s="68" t="s">
        <v>1701</v>
      </c>
      <c r="R140" s="68" t="s">
        <v>1697</v>
      </c>
    </row>
    <row r="141" spans="1:18" ht="41.4" x14ac:dyDescent="0.3">
      <c r="A141" s="70" t="s">
        <v>1619</v>
      </c>
      <c r="B141" s="68" t="s">
        <v>1543</v>
      </c>
      <c r="C141" s="69" t="s">
        <v>1647</v>
      </c>
      <c r="D141" s="68" t="s">
        <v>79</v>
      </c>
      <c r="E141" s="68">
        <v>40</v>
      </c>
      <c r="F141" s="68" t="s">
        <v>139</v>
      </c>
      <c r="G141" s="68" t="s">
        <v>1762</v>
      </c>
      <c r="H141" s="68" t="s">
        <v>127</v>
      </c>
      <c r="I141" s="72">
        <v>13</v>
      </c>
      <c r="J141" s="72"/>
      <c r="K141" s="84">
        <v>3</v>
      </c>
      <c r="L141" s="71" t="s">
        <v>342</v>
      </c>
      <c r="M141" s="71" t="s">
        <v>343</v>
      </c>
      <c r="N141" s="68" t="s">
        <v>80</v>
      </c>
      <c r="O141" s="68"/>
      <c r="P141" s="68" t="s">
        <v>1763</v>
      </c>
      <c r="Q141" s="68" t="s">
        <v>1764</v>
      </c>
      <c r="R141" s="68" t="s">
        <v>1697</v>
      </c>
    </row>
    <row r="142" spans="1:18" ht="41.4" x14ac:dyDescent="0.3">
      <c r="A142" s="70" t="s">
        <v>1619</v>
      </c>
      <c r="B142" s="68" t="s">
        <v>1543</v>
      </c>
      <c r="C142" s="69" t="s">
        <v>1647</v>
      </c>
      <c r="D142" s="68" t="s">
        <v>79</v>
      </c>
      <c r="E142" s="68">
        <v>50</v>
      </c>
      <c r="F142" s="68" t="s">
        <v>135</v>
      </c>
      <c r="G142" s="68" t="s">
        <v>1765</v>
      </c>
      <c r="H142" s="68" t="s">
        <v>124</v>
      </c>
      <c r="I142" s="72">
        <v>25</v>
      </c>
      <c r="J142" s="72"/>
      <c r="K142" s="84">
        <v>0.75</v>
      </c>
      <c r="L142" s="71" t="s">
        <v>342</v>
      </c>
      <c r="M142" s="71" t="s">
        <v>343</v>
      </c>
      <c r="N142" s="68" t="s">
        <v>80</v>
      </c>
      <c r="O142" s="68"/>
      <c r="P142" s="68" t="s">
        <v>1713</v>
      </c>
      <c r="Q142" s="68" t="s">
        <v>1201</v>
      </c>
      <c r="R142" s="68" t="s">
        <v>1697</v>
      </c>
    </row>
    <row r="143" spans="1:18" ht="41.4" x14ac:dyDescent="0.3">
      <c r="A143" s="70" t="s">
        <v>1619</v>
      </c>
      <c r="B143" s="68" t="s">
        <v>1546</v>
      </c>
      <c r="C143" s="69" t="s">
        <v>1544</v>
      </c>
      <c r="D143" s="68" t="s">
        <v>79</v>
      </c>
      <c r="E143" s="68">
        <v>10</v>
      </c>
      <c r="F143" s="68" t="s">
        <v>121</v>
      </c>
      <c r="G143" s="68" t="s">
        <v>1766</v>
      </c>
      <c r="H143" s="68" t="s">
        <v>122</v>
      </c>
      <c r="I143" s="72">
        <v>10</v>
      </c>
      <c r="J143" s="72"/>
      <c r="K143" s="84">
        <v>0.5</v>
      </c>
      <c r="L143" s="71" t="s">
        <v>342</v>
      </c>
      <c r="M143" s="71" t="s">
        <v>1182</v>
      </c>
      <c r="N143" s="68" t="s">
        <v>80</v>
      </c>
      <c r="O143" s="68"/>
      <c r="P143" s="68" t="s">
        <v>1183</v>
      </c>
      <c r="Q143" s="68" t="s">
        <v>1184</v>
      </c>
      <c r="R143" s="68" t="s">
        <v>1697</v>
      </c>
    </row>
    <row r="144" spans="1:18" ht="41.4" x14ac:dyDescent="0.3">
      <c r="A144" s="70" t="s">
        <v>1619</v>
      </c>
      <c r="B144" s="68" t="s">
        <v>1546</v>
      </c>
      <c r="C144" s="69" t="s">
        <v>1544</v>
      </c>
      <c r="D144" s="68" t="s">
        <v>79</v>
      </c>
      <c r="E144" s="68">
        <v>20</v>
      </c>
      <c r="F144" s="68" t="s">
        <v>123</v>
      </c>
      <c r="G144" s="68" t="s">
        <v>1767</v>
      </c>
      <c r="H144" s="68" t="s">
        <v>124</v>
      </c>
      <c r="I144" s="72">
        <v>11</v>
      </c>
      <c r="J144" s="72"/>
      <c r="K144" s="84">
        <v>0.75</v>
      </c>
      <c r="L144" s="71" t="s">
        <v>342</v>
      </c>
      <c r="M144" s="71" t="s">
        <v>1182</v>
      </c>
      <c r="N144" s="68" t="s">
        <v>80</v>
      </c>
      <c r="O144" s="68"/>
      <c r="P144" s="68" t="s">
        <v>1699</v>
      </c>
      <c r="Q144" s="68" t="s">
        <v>1187</v>
      </c>
      <c r="R144" s="68" t="s">
        <v>1697</v>
      </c>
    </row>
    <row r="145" spans="1:18" ht="41.4" x14ac:dyDescent="0.3">
      <c r="A145" s="70" t="s">
        <v>1619</v>
      </c>
      <c r="B145" s="68" t="s">
        <v>1546</v>
      </c>
      <c r="C145" s="69" t="s">
        <v>1544</v>
      </c>
      <c r="D145" s="68" t="s">
        <v>79</v>
      </c>
      <c r="E145" s="68">
        <v>30</v>
      </c>
      <c r="F145" s="68" t="s">
        <v>125</v>
      </c>
      <c r="G145" s="68" t="s">
        <v>1768</v>
      </c>
      <c r="H145" s="68" t="s">
        <v>127</v>
      </c>
      <c r="I145" s="72">
        <v>12</v>
      </c>
      <c r="J145" s="72"/>
      <c r="K145" s="84">
        <v>0.3</v>
      </c>
      <c r="L145" s="71" t="s">
        <v>342</v>
      </c>
      <c r="M145" s="71" t="s">
        <v>1188</v>
      </c>
      <c r="N145" s="68" t="s">
        <v>80</v>
      </c>
      <c r="O145" s="68"/>
      <c r="P145" s="68" t="s">
        <v>1189</v>
      </c>
      <c r="Q145" s="68" t="s">
        <v>1701</v>
      </c>
      <c r="R145" s="68" t="s">
        <v>1697</v>
      </c>
    </row>
    <row r="146" spans="1:18" ht="41.4" x14ac:dyDescent="0.3">
      <c r="A146" s="70" t="s">
        <v>1619</v>
      </c>
      <c r="B146" s="68" t="s">
        <v>1546</v>
      </c>
      <c r="C146" s="69" t="s">
        <v>1544</v>
      </c>
      <c r="D146" s="68" t="s">
        <v>79</v>
      </c>
      <c r="E146" s="68">
        <v>40</v>
      </c>
      <c r="F146" s="68" t="s">
        <v>139</v>
      </c>
      <c r="G146" s="68" t="s">
        <v>1769</v>
      </c>
      <c r="H146" s="68" t="s">
        <v>127</v>
      </c>
      <c r="I146" s="72">
        <v>13</v>
      </c>
      <c r="J146" s="72"/>
      <c r="K146" s="84">
        <v>3</v>
      </c>
      <c r="L146" s="71" t="s">
        <v>342</v>
      </c>
      <c r="M146" s="71" t="s">
        <v>343</v>
      </c>
      <c r="N146" s="68" t="s">
        <v>80</v>
      </c>
      <c r="O146" s="68"/>
      <c r="P146" s="68" t="s">
        <v>1763</v>
      </c>
      <c r="Q146" s="68" t="s">
        <v>1764</v>
      </c>
      <c r="R146" s="68" t="s">
        <v>1697</v>
      </c>
    </row>
    <row r="147" spans="1:18" ht="41.4" x14ac:dyDescent="0.3">
      <c r="A147" s="70" t="s">
        <v>1619</v>
      </c>
      <c r="B147" s="68" t="s">
        <v>1546</v>
      </c>
      <c r="C147" s="69" t="s">
        <v>1544</v>
      </c>
      <c r="D147" s="68" t="s">
        <v>79</v>
      </c>
      <c r="E147" s="68">
        <v>50</v>
      </c>
      <c r="F147" s="68" t="s">
        <v>135</v>
      </c>
      <c r="G147" s="68" t="s">
        <v>1770</v>
      </c>
      <c r="H147" s="68" t="s">
        <v>124</v>
      </c>
      <c r="I147" s="72">
        <v>25</v>
      </c>
      <c r="J147" s="72"/>
      <c r="K147" s="84">
        <v>0.75</v>
      </c>
      <c r="L147" s="71" t="s">
        <v>342</v>
      </c>
      <c r="M147" s="71" t="s">
        <v>343</v>
      </c>
      <c r="N147" s="68" t="s">
        <v>80</v>
      </c>
      <c r="O147" s="68"/>
      <c r="P147" s="68" t="s">
        <v>1713</v>
      </c>
      <c r="Q147" s="68" t="s">
        <v>1201</v>
      </c>
      <c r="R147" s="68" t="s">
        <v>1697</v>
      </c>
    </row>
    <row r="148" spans="1:18" ht="41.4" x14ac:dyDescent="0.3">
      <c r="A148" s="70" t="s">
        <v>1619</v>
      </c>
      <c r="B148" s="68" t="s">
        <v>1549</v>
      </c>
      <c r="C148" s="69" t="s">
        <v>1652</v>
      </c>
      <c r="D148" s="68" t="s">
        <v>79</v>
      </c>
      <c r="E148" s="68">
        <v>10</v>
      </c>
      <c r="F148" s="68" t="s">
        <v>121</v>
      </c>
      <c r="G148" s="68" t="s">
        <v>1771</v>
      </c>
      <c r="H148" s="68" t="s">
        <v>122</v>
      </c>
      <c r="I148" s="72">
        <v>10</v>
      </c>
      <c r="J148" s="72"/>
      <c r="K148" s="84">
        <v>0.5</v>
      </c>
      <c r="L148" s="71" t="s">
        <v>342</v>
      </c>
      <c r="M148" s="71" t="s">
        <v>1182</v>
      </c>
      <c r="N148" s="68" t="s">
        <v>80</v>
      </c>
      <c r="O148" s="68"/>
      <c r="P148" s="68" t="s">
        <v>1183</v>
      </c>
      <c r="Q148" s="68" t="s">
        <v>1184</v>
      </c>
      <c r="R148" s="68" t="s">
        <v>1697</v>
      </c>
    </row>
    <row r="149" spans="1:18" ht="41.4" x14ac:dyDescent="0.3">
      <c r="A149" s="70" t="s">
        <v>1619</v>
      </c>
      <c r="B149" s="68" t="s">
        <v>1549</v>
      </c>
      <c r="C149" s="69" t="s">
        <v>1652</v>
      </c>
      <c r="D149" s="68" t="s">
        <v>79</v>
      </c>
      <c r="E149" s="68">
        <v>20</v>
      </c>
      <c r="F149" s="68" t="s">
        <v>123</v>
      </c>
      <c r="G149" s="68" t="s">
        <v>1772</v>
      </c>
      <c r="H149" s="68" t="s">
        <v>124</v>
      </c>
      <c r="I149" s="72">
        <v>11</v>
      </c>
      <c r="J149" s="72"/>
      <c r="K149" s="84">
        <v>0.75</v>
      </c>
      <c r="L149" s="71" t="s">
        <v>342</v>
      </c>
      <c r="M149" s="71" t="s">
        <v>1182</v>
      </c>
      <c r="N149" s="68" t="s">
        <v>80</v>
      </c>
      <c r="O149" s="68"/>
      <c r="P149" s="68" t="s">
        <v>1699</v>
      </c>
      <c r="Q149" s="68" t="s">
        <v>1187</v>
      </c>
      <c r="R149" s="68" t="s">
        <v>1697</v>
      </c>
    </row>
    <row r="150" spans="1:18" ht="41.4" x14ac:dyDescent="0.3">
      <c r="A150" s="70" t="s">
        <v>1619</v>
      </c>
      <c r="B150" s="68" t="s">
        <v>1549</v>
      </c>
      <c r="C150" s="69" t="s">
        <v>1652</v>
      </c>
      <c r="D150" s="68" t="s">
        <v>79</v>
      </c>
      <c r="E150" s="68">
        <v>30</v>
      </c>
      <c r="F150" s="68" t="s">
        <v>135</v>
      </c>
      <c r="G150" s="68" t="s">
        <v>1773</v>
      </c>
      <c r="H150" s="68" t="s">
        <v>124</v>
      </c>
      <c r="I150" s="72">
        <v>25</v>
      </c>
      <c r="J150" s="72"/>
      <c r="K150" s="84">
        <v>0.75</v>
      </c>
      <c r="L150" s="71" t="s">
        <v>342</v>
      </c>
      <c r="M150" s="71" t="s">
        <v>343</v>
      </c>
      <c r="N150" s="68" t="s">
        <v>80</v>
      </c>
      <c r="O150" s="68"/>
      <c r="P150" s="68" t="s">
        <v>1713</v>
      </c>
      <c r="Q150" s="68" t="s">
        <v>1201</v>
      </c>
      <c r="R150" s="68" t="s">
        <v>1697</v>
      </c>
    </row>
    <row r="151" spans="1:18" ht="41.4" x14ac:dyDescent="0.3">
      <c r="A151" s="70" t="s">
        <v>1619</v>
      </c>
      <c r="B151" s="68" t="s">
        <v>1553</v>
      </c>
      <c r="C151" s="69" t="s">
        <v>1655</v>
      </c>
      <c r="D151" s="68" t="s">
        <v>79</v>
      </c>
      <c r="E151" s="68">
        <v>10</v>
      </c>
      <c r="F151" s="68" t="s">
        <v>121</v>
      </c>
      <c r="G151" s="68" t="s">
        <v>1774</v>
      </c>
      <c r="H151" s="68" t="s">
        <v>122</v>
      </c>
      <c r="I151" s="72">
        <v>10</v>
      </c>
      <c r="J151" s="72"/>
      <c r="K151" s="84">
        <v>0.5</v>
      </c>
      <c r="L151" s="71" t="s">
        <v>342</v>
      </c>
      <c r="M151" s="71" t="s">
        <v>1182</v>
      </c>
      <c r="N151" s="68" t="s">
        <v>80</v>
      </c>
      <c r="O151" s="68"/>
      <c r="P151" s="68" t="s">
        <v>1183</v>
      </c>
      <c r="Q151" s="68" t="s">
        <v>1184</v>
      </c>
      <c r="R151" s="68" t="s">
        <v>1697</v>
      </c>
    </row>
    <row r="152" spans="1:18" ht="41.4" x14ac:dyDescent="0.3">
      <c r="A152" s="70" t="s">
        <v>1619</v>
      </c>
      <c r="B152" s="68" t="s">
        <v>1553</v>
      </c>
      <c r="C152" s="69" t="s">
        <v>1655</v>
      </c>
      <c r="D152" s="68" t="s">
        <v>79</v>
      </c>
      <c r="E152" s="68">
        <v>20</v>
      </c>
      <c r="F152" s="68" t="s">
        <v>123</v>
      </c>
      <c r="G152" s="68" t="s">
        <v>1775</v>
      </c>
      <c r="H152" s="68" t="s">
        <v>124</v>
      </c>
      <c r="I152" s="72">
        <v>11</v>
      </c>
      <c r="J152" s="72"/>
      <c r="K152" s="84">
        <v>0.75</v>
      </c>
      <c r="L152" s="71" t="s">
        <v>342</v>
      </c>
      <c r="M152" s="71" t="s">
        <v>1182</v>
      </c>
      <c r="N152" s="68" t="s">
        <v>80</v>
      </c>
      <c r="O152" s="68"/>
      <c r="P152" s="68" t="s">
        <v>1699</v>
      </c>
      <c r="Q152" s="68" t="s">
        <v>1187</v>
      </c>
      <c r="R152" s="68" t="s">
        <v>1697</v>
      </c>
    </row>
    <row r="153" spans="1:18" ht="41.4" x14ac:dyDescent="0.3">
      <c r="A153" s="70" t="s">
        <v>1619</v>
      </c>
      <c r="B153" s="68" t="s">
        <v>1553</v>
      </c>
      <c r="C153" s="69" t="s">
        <v>1655</v>
      </c>
      <c r="D153" s="68" t="s">
        <v>79</v>
      </c>
      <c r="E153" s="68">
        <v>30</v>
      </c>
      <c r="F153" s="68" t="s">
        <v>135</v>
      </c>
      <c r="G153" s="68" t="s">
        <v>1776</v>
      </c>
      <c r="H153" s="68" t="s">
        <v>124</v>
      </c>
      <c r="I153" s="72">
        <v>25</v>
      </c>
      <c r="J153" s="72"/>
      <c r="K153" s="84">
        <v>0.75</v>
      </c>
      <c r="L153" s="71" t="s">
        <v>342</v>
      </c>
      <c r="M153" s="71" t="s">
        <v>343</v>
      </c>
      <c r="N153" s="68" t="s">
        <v>80</v>
      </c>
      <c r="O153" s="68"/>
      <c r="P153" s="68" t="s">
        <v>1713</v>
      </c>
      <c r="Q153" s="68" t="s">
        <v>1201</v>
      </c>
      <c r="R153" s="68" t="s">
        <v>1697</v>
      </c>
    </row>
    <row r="154" spans="1:18" ht="41.4" x14ac:dyDescent="0.3">
      <c r="A154" s="70" t="s">
        <v>1619</v>
      </c>
      <c r="B154" s="68" t="s">
        <v>1516</v>
      </c>
      <c r="C154" s="69" t="s">
        <v>1556</v>
      </c>
      <c r="D154" s="68" t="s">
        <v>79</v>
      </c>
      <c r="E154" s="68">
        <v>10</v>
      </c>
      <c r="F154" s="68" t="s">
        <v>121</v>
      </c>
      <c r="G154" s="68" t="s">
        <v>1777</v>
      </c>
      <c r="H154" s="68" t="s">
        <v>122</v>
      </c>
      <c r="I154" s="72">
        <v>10</v>
      </c>
      <c r="J154" s="72"/>
      <c r="K154" s="84">
        <v>0.5</v>
      </c>
      <c r="L154" s="71" t="s">
        <v>342</v>
      </c>
      <c r="M154" s="71" t="s">
        <v>1182</v>
      </c>
      <c r="N154" s="68" t="s">
        <v>80</v>
      </c>
      <c r="O154" s="68"/>
      <c r="P154" s="68" t="s">
        <v>1183</v>
      </c>
      <c r="Q154" s="68" t="s">
        <v>1184</v>
      </c>
      <c r="R154" s="68" t="s">
        <v>1697</v>
      </c>
    </row>
    <row r="155" spans="1:18" ht="41.4" x14ac:dyDescent="0.3">
      <c r="A155" s="70" t="s">
        <v>1619</v>
      </c>
      <c r="B155" s="68" t="s">
        <v>1516</v>
      </c>
      <c r="C155" s="69" t="s">
        <v>1556</v>
      </c>
      <c r="D155" s="68" t="s">
        <v>79</v>
      </c>
      <c r="E155" s="68">
        <v>20</v>
      </c>
      <c r="F155" s="68" t="s">
        <v>123</v>
      </c>
      <c r="G155" s="68" t="s">
        <v>1778</v>
      </c>
      <c r="H155" s="68" t="s">
        <v>124</v>
      </c>
      <c r="I155" s="72">
        <v>11</v>
      </c>
      <c r="J155" s="72"/>
      <c r="K155" s="84">
        <v>0.75</v>
      </c>
      <c r="L155" s="71" t="s">
        <v>342</v>
      </c>
      <c r="M155" s="71" t="s">
        <v>1182</v>
      </c>
      <c r="N155" s="68" t="s">
        <v>80</v>
      </c>
      <c r="O155" s="68"/>
      <c r="P155" s="68" t="s">
        <v>1699</v>
      </c>
      <c r="Q155" s="68" t="s">
        <v>1187</v>
      </c>
      <c r="R155" s="68" t="s">
        <v>1697</v>
      </c>
    </row>
    <row r="156" spans="1:18" ht="41.4" x14ac:dyDescent="0.3">
      <c r="A156" s="70" t="s">
        <v>1619</v>
      </c>
      <c r="B156" s="68" t="s">
        <v>1516</v>
      </c>
      <c r="C156" s="69" t="s">
        <v>1556</v>
      </c>
      <c r="D156" s="68" t="s">
        <v>79</v>
      </c>
      <c r="E156" s="68">
        <v>30</v>
      </c>
      <c r="F156" s="68" t="s">
        <v>125</v>
      </c>
      <c r="G156" s="68" t="s">
        <v>1779</v>
      </c>
      <c r="H156" s="68" t="s">
        <v>127</v>
      </c>
      <c r="I156" s="72">
        <v>12</v>
      </c>
      <c r="J156" s="72"/>
      <c r="K156" s="84">
        <v>0.3</v>
      </c>
      <c r="L156" s="71" t="s">
        <v>342</v>
      </c>
      <c r="M156" s="71" t="s">
        <v>1188</v>
      </c>
      <c r="N156" s="68" t="s">
        <v>80</v>
      </c>
      <c r="O156" s="68"/>
      <c r="P156" s="68" t="s">
        <v>1189</v>
      </c>
      <c r="Q156" s="68" t="s">
        <v>1701</v>
      </c>
      <c r="R156" s="68" t="s">
        <v>1697</v>
      </c>
    </row>
    <row r="157" spans="1:18" ht="41.4" x14ac:dyDescent="0.3">
      <c r="A157" s="70" t="s">
        <v>1619</v>
      </c>
      <c r="B157" s="68" t="s">
        <v>1516</v>
      </c>
      <c r="C157" s="69" t="s">
        <v>1556</v>
      </c>
      <c r="D157" s="68" t="s">
        <v>79</v>
      </c>
      <c r="E157" s="68">
        <v>40</v>
      </c>
      <c r="F157" s="68" t="s">
        <v>128</v>
      </c>
      <c r="G157" s="68" t="s">
        <v>1780</v>
      </c>
      <c r="H157" s="68" t="s">
        <v>127</v>
      </c>
      <c r="I157" s="72">
        <v>12</v>
      </c>
      <c r="J157" s="72"/>
      <c r="K157" s="84">
        <v>0.35</v>
      </c>
      <c r="L157" s="71" t="s">
        <v>342</v>
      </c>
      <c r="M157" s="71" t="s">
        <v>1191</v>
      </c>
      <c r="N157" s="68" t="s">
        <v>80</v>
      </c>
      <c r="O157" s="68"/>
      <c r="P157" s="68" t="s">
        <v>1192</v>
      </c>
      <c r="Q157" s="68" t="s">
        <v>1703</v>
      </c>
      <c r="R157" s="68" t="s">
        <v>1697</v>
      </c>
    </row>
    <row r="158" spans="1:18" ht="41.4" x14ac:dyDescent="0.3">
      <c r="A158" s="70" t="s">
        <v>1619</v>
      </c>
      <c r="B158" s="68" t="s">
        <v>1516</v>
      </c>
      <c r="C158" s="69" t="s">
        <v>1556</v>
      </c>
      <c r="D158" s="68" t="s">
        <v>79</v>
      </c>
      <c r="E158" s="68">
        <v>50</v>
      </c>
      <c r="F158" s="68" t="s">
        <v>139</v>
      </c>
      <c r="G158" s="68" t="s">
        <v>1781</v>
      </c>
      <c r="H158" s="68" t="s">
        <v>127</v>
      </c>
      <c r="I158" s="72">
        <v>13</v>
      </c>
      <c r="J158" s="72"/>
      <c r="K158" s="84">
        <v>3</v>
      </c>
      <c r="L158" s="71" t="s">
        <v>342</v>
      </c>
      <c r="M158" s="71" t="s">
        <v>343</v>
      </c>
      <c r="N158" s="68" t="s">
        <v>104</v>
      </c>
      <c r="O158" s="68" t="s">
        <v>1782</v>
      </c>
      <c r="P158" s="68" t="s">
        <v>1763</v>
      </c>
      <c r="Q158" s="68" t="s">
        <v>1764</v>
      </c>
      <c r="R158" s="68" t="s">
        <v>1697</v>
      </c>
    </row>
    <row r="159" spans="1:18" ht="41.4" x14ac:dyDescent="0.3">
      <c r="A159" s="70" t="s">
        <v>1619</v>
      </c>
      <c r="B159" s="68" t="s">
        <v>1516</v>
      </c>
      <c r="C159" s="69" t="s">
        <v>1556</v>
      </c>
      <c r="D159" s="68" t="s">
        <v>79</v>
      </c>
      <c r="E159" s="68">
        <v>60</v>
      </c>
      <c r="F159" s="68" t="s">
        <v>135</v>
      </c>
      <c r="G159" s="68" t="s">
        <v>1783</v>
      </c>
      <c r="H159" s="68" t="s">
        <v>124</v>
      </c>
      <c r="I159" s="72">
        <v>25</v>
      </c>
      <c r="J159" s="72"/>
      <c r="K159" s="84">
        <v>0.75</v>
      </c>
      <c r="L159" s="71" t="s">
        <v>342</v>
      </c>
      <c r="M159" s="71" t="s">
        <v>343</v>
      </c>
      <c r="N159" s="68" t="s">
        <v>80</v>
      </c>
      <c r="O159" s="68"/>
      <c r="P159" s="68" t="s">
        <v>1713</v>
      </c>
      <c r="Q159" s="68" t="s">
        <v>1201</v>
      </c>
      <c r="R159" s="68" t="s">
        <v>1697</v>
      </c>
    </row>
    <row r="160" spans="1:18" ht="41.4" x14ac:dyDescent="0.3">
      <c r="A160" s="70" t="s">
        <v>1619</v>
      </c>
      <c r="B160" s="68" t="s">
        <v>1562</v>
      </c>
      <c r="C160" s="69" t="s">
        <v>1560</v>
      </c>
      <c r="D160" s="68" t="s">
        <v>79</v>
      </c>
      <c r="E160" s="68">
        <v>10</v>
      </c>
      <c r="F160" s="68" t="s">
        <v>121</v>
      </c>
      <c r="G160" s="68" t="s">
        <v>1784</v>
      </c>
      <c r="H160" s="68" t="s">
        <v>122</v>
      </c>
      <c r="I160" s="72">
        <v>10</v>
      </c>
      <c r="J160" s="72"/>
      <c r="K160" s="84">
        <v>0.5</v>
      </c>
      <c r="L160" s="71" t="s">
        <v>342</v>
      </c>
      <c r="M160" s="71" t="s">
        <v>1182</v>
      </c>
      <c r="N160" s="68" t="s">
        <v>80</v>
      </c>
      <c r="O160" s="68"/>
      <c r="P160" s="68" t="s">
        <v>1183</v>
      </c>
      <c r="Q160" s="68" t="s">
        <v>1184</v>
      </c>
      <c r="R160" s="68" t="s">
        <v>1697</v>
      </c>
    </row>
    <row r="161" spans="1:18" ht="41.4" x14ac:dyDescent="0.3">
      <c r="A161" s="70" t="s">
        <v>1619</v>
      </c>
      <c r="B161" s="68" t="s">
        <v>1562</v>
      </c>
      <c r="C161" s="69" t="s">
        <v>1560</v>
      </c>
      <c r="D161" s="68" t="s">
        <v>79</v>
      </c>
      <c r="E161" s="68">
        <v>20</v>
      </c>
      <c r="F161" s="68" t="s">
        <v>123</v>
      </c>
      <c r="G161" s="68" t="s">
        <v>1785</v>
      </c>
      <c r="H161" s="68" t="s">
        <v>124</v>
      </c>
      <c r="I161" s="72">
        <v>11</v>
      </c>
      <c r="J161" s="72"/>
      <c r="K161" s="84">
        <v>0.75</v>
      </c>
      <c r="L161" s="71" t="s">
        <v>342</v>
      </c>
      <c r="M161" s="71" t="s">
        <v>1182</v>
      </c>
      <c r="N161" s="68" t="s">
        <v>80</v>
      </c>
      <c r="O161" s="68"/>
      <c r="P161" s="68" t="s">
        <v>1699</v>
      </c>
      <c r="Q161" s="68" t="s">
        <v>1187</v>
      </c>
      <c r="R161" s="68" t="s">
        <v>1697</v>
      </c>
    </row>
    <row r="162" spans="1:18" ht="41.4" x14ac:dyDescent="0.3">
      <c r="A162" s="70" t="s">
        <v>1619</v>
      </c>
      <c r="B162" s="68" t="s">
        <v>1562</v>
      </c>
      <c r="C162" s="69" t="s">
        <v>1560</v>
      </c>
      <c r="D162" s="68" t="s">
        <v>79</v>
      </c>
      <c r="E162" s="68">
        <v>30</v>
      </c>
      <c r="F162" s="68" t="s">
        <v>125</v>
      </c>
      <c r="G162" s="68" t="s">
        <v>1786</v>
      </c>
      <c r="H162" s="68" t="s">
        <v>127</v>
      </c>
      <c r="I162" s="72">
        <v>12</v>
      </c>
      <c r="J162" s="72"/>
      <c r="K162" s="84">
        <v>0.3</v>
      </c>
      <c r="L162" s="71" t="s">
        <v>342</v>
      </c>
      <c r="M162" s="71" t="s">
        <v>1188</v>
      </c>
      <c r="N162" s="68" t="s">
        <v>80</v>
      </c>
      <c r="O162" s="68"/>
      <c r="P162" s="68" t="s">
        <v>1189</v>
      </c>
      <c r="Q162" s="68" t="s">
        <v>1701</v>
      </c>
      <c r="R162" s="68" t="s">
        <v>1697</v>
      </c>
    </row>
    <row r="163" spans="1:18" ht="41.4" x14ac:dyDescent="0.3">
      <c r="A163" s="70" t="s">
        <v>1619</v>
      </c>
      <c r="B163" s="68" t="s">
        <v>1562</v>
      </c>
      <c r="C163" s="69" t="s">
        <v>1560</v>
      </c>
      <c r="D163" s="68" t="s">
        <v>79</v>
      </c>
      <c r="E163" s="68">
        <v>40</v>
      </c>
      <c r="F163" s="68" t="s">
        <v>128</v>
      </c>
      <c r="G163" s="68" t="s">
        <v>1787</v>
      </c>
      <c r="H163" s="68" t="s">
        <v>127</v>
      </c>
      <c r="I163" s="72">
        <v>12</v>
      </c>
      <c r="J163" s="72"/>
      <c r="K163" s="84">
        <v>0.35</v>
      </c>
      <c r="L163" s="71" t="s">
        <v>342</v>
      </c>
      <c r="M163" s="71" t="s">
        <v>1191</v>
      </c>
      <c r="N163" s="68" t="s">
        <v>80</v>
      </c>
      <c r="O163" s="68"/>
      <c r="P163" s="68" t="s">
        <v>1192</v>
      </c>
      <c r="Q163" s="68" t="s">
        <v>1703</v>
      </c>
      <c r="R163" s="68" t="s">
        <v>1697</v>
      </c>
    </row>
    <row r="164" spans="1:18" ht="41.4" x14ac:dyDescent="0.3">
      <c r="A164" s="70" t="s">
        <v>1619</v>
      </c>
      <c r="B164" s="68" t="s">
        <v>1562</v>
      </c>
      <c r="C164" s="69" t="s">
        <v>1560</v>
      </c>
      <c r="D164" s="68" t="s">
        <v>79</v>
      </c>
      <c r="E164" s="68">
        <v>50</v>
      </c>
      <c r="F164" s="68" t="s">
        <v>139</v>
      </c>
      <c r="G164" s="68" t="s">
        <v>1788</v>
      </c>
      <c r="H164" s="68" t="s">
        <v>127</v>
      </c>
      <c r="I164" s="72">
        <v>13</v>
      </c>
      <c r="J164" s="72"/>
      <c r="K164" s="84">
        <v>3</v>
      </c>
      <c r="L164" s="71" t="s">
        <v>342</v>
      </c>
      <c r="M164" s="71" t="s">
        <v>343</v>
      </c>
      <c r="N164" s="68" t="s">
        <v>104</v>
      </c>
      <c r="O164" s="68" t="s">
        <v>1782</v>
      </c>
      <c r="P164" s="68" t="s">
        <v>1763</v>
      </c>
      <c r="Q164" s="68" t="s">
        <v>1764</v>
      </c>
      <c r="R164" s="68" t="s">
        <v>1697</v>
      </c>
    </row>
    <row r="165" spans="1:18" ht="41.4" x14ac:dyDescent="0.3">
      <c r="A165" s="70" t="s">
        <v>1619</v>
      </c>
      <c r="B165" s="68" t="s">
        <v>1562</v>
      </c>
      <c r="C165" s="69" t="s">
        <v>1560</v>
      </c>
      <c r="D165" s="68" t="s">
        <v>79</v>
      </c>
      <c r="E165" s="68">
        <v>60</v>
      </c>
      <c r="F165" s="68" t="s">
        <v>135</v>
      </c>
      <c r="G165" s="68" t="s">
        <v>1789</v>
      </c>
      <c r="H165" s="68" t="s">
        <v>124</v>
      </c>
      <c r="I165" s="72">
        <v>25</v>
      </c>
      <c r="J165" s="72"/>
      <c r="K165" s="84">
        <v>0.75</v>
      </c>
      <c r="L165" s="71" t="s">
        <v>342</v>
      </c>
      <c r="M165" s="71" t="s">
        <v>343</v>
      </c>
      <c r="N165" s="68" t="s">
        <v>80</v>
      </c>
      <c r="O165" s="68"/>
      <c r="P165" s="68" t="s">
        <v>1713</v>
      </c>
      <c r="Q165" s="68" t="s">
        <v>1201</v>
      </c>
      <c r="R165" s="68" t="s">
        <v>1697</v>
      </c>
    </row>
    <row r="166" spans="1:18" ht="41.4" x14ac:dyDescent="0.3">
      <c r="A166" s="70" t="s">
        <v>1619</v>
      </c>
      <c r="B166" s="68" t="s">
        <v>1565</v>
      </c>
      <c r="C166" s="69" t="s">
        <v>1663</v>
      </c>
      <c r="D166" s="68" t="s">
        <v>79</v>
      </c>
      <c r="E166" s="68">
        <v>10</v>
      </c>
      <c r="F166" s="68" t="s">
        <v>121</v>
      </c>
      <c r="G166" s="68" t="s">
        <v>1790</v>
      </c>
      <c r="H166" s="68" t="s">
        <v>122</v>
      </c>
      <c r="I166" s="72">
        <v>10</v>
      </c>
      <c r="J166" s="72"/>
      <c r="K166" s="84">
        <v>0.5</v>
      </c>
      <c r="L166" s="71" t="s">
        <v>342</v>
      </c>
      <c r="M166" s="71" t="s">
        <v>1182</v>
      </c>
      <c r="N166" s="68" t="s">
        <v>80</v>
      </c>
      <c r="O166" s="68"/>
      <c r="P166" s="68" t="s">
        <v>1183</v>
      </c>
      <c r="Q166" s="68" t="s">
        <v>1184</v>
      </c>
      <c r="R166" s="68" t="s">
        <v>1697</v>
      </c>
    </row>
    <row r="167" spans="1:18" ht="41.4" x14ac:dyDescent="0.3">
      <c r="A167" s="70" t="s">
        <v>1619</v>
      </c>
      <c r="B167" s="68" t="s">
        <v>1565</v>
      </c>
      <c r="C167" s="69" t="s">
        <v>1663</v>
      </c>
      <c r="D167" s="68" t="s">
        <v>79</v>
      </c>
      <c r="E167" s="68">
        <v>20</v>
      </c>
      <c r="F167" s="68" t="s">
        <v>123</v>
      </c>
      <c r="G167" s="68" t="s">
        <v>1791</v>
      </c>
      <c r="H167" s="68" t="s">
        <v>124</v>
      </c>
      <c r="I167" s="72">
        <v>11</v>
      </c>
      <c r="J167" s="72"/>
      <c r="K167" s="84">
        <v>0.75</v>
      </c>
      <c r="L167" s="71" t="s">
        <v>342</v>
      </c>
      <c r="M167" s="71" t="s">
        <v>1182</v>
      </c>
      <c r="N167" s="68" t="s">
        <v>80</v>
      </c>
      <c r="O167" s="68"/>
      <c r="P167" s="68" t="s">
        <v>1699</v>
      </c>
      <c r="Q167" s="68" t="s">
        <v>1187</v>
      </c>
      <c r="R167" s="68" t="s">
        <v>1697</v>
      </c>
    </row>
    <row r="168" spans="1:18" ht="41.4" x14ac:dyDescent="0.3">
      <c r="A168" s="70" t="s">
        <v>1619</v>
      </c>
      <c r="B168" s="68" t="s">
        <v>1565</v>
      </c>
      <c r="C168" s="69" t="s">
        <v>1663</v>
      </c>
      <c r="D168" s="68" t="s">
        <v>79</v>
      </c>
      <c r="E168" s="68">
        <v>30</v>
      </c>
      <c r="F168" s="68" t="s">
        <v>125</v>
      </c>
      <c r="G168" s="68" t="s">
        <v>1792</v>
      </c>
      <c r="H168" s="68" t="s">
        <v>127</v>
      </c>
      <c r="I168" s="72">
        <v>12</v>
      </c>
      <c r="J168" s="72"/>
      <c r="K168" s="84">
        <v>0.3</v>
      </c>
      <c r="L168" s="71" t="s">
        <v>342</v>
      </c>
      <c r="M168" s="71" t="s">
        <v>1188</v>
      </c>
      <c r="N168" s="68" t="s">
        <v>80</v>
      </c>
      <c r="O168" s="68"/>
      <c r="P168" s="68" t="s">
        <v>1189</v>
      </c>
      <c r="Q168" s="68" t="s">
        <v>1701</v>
      </c>
      <c r="R168" s="68" t="s">
        <v>1697</v>
      </c>
    </row>
    <row r="169" spans="1:18" ht="41.4" x14ac:dyDescent="0.3">
      <c r="A169" s="70" t="s">
        <v>1619</v>
      </c>
      <c r="B169" s="68" t="s">
        <v>1565</v>
      </c>
      <c r="C169" s="69" t="s">
        <v>1663</v>
      </c>
      <c r="D169" s="68" t="s">
        <v>79</v>
      </c>
      <c r="E169" s="68">
        <v>40</v>
      </c>
      <c r="F169" s="68" t="s">
        <v>136</v>
      </c>
      <c r="G169" s="68" t="s">
        <v>1793</v>
      </c>
      <c r="H169" s="68" t="s">
        <v>137</v>
      </c>
      <c r="I169" s="72">
        <v>14</v>
      </c>
      <c r="J169" s="72"/>
      <c r="K169" s="84">
        <v>2</v>
      </c>
      <c r="L169" s="71" t="s">
        <v>342</v>
      </c>
      <c r="M169" s="71" t="s">
        <v>343</v>
      </c>
      <c r="N169" s="68" t="s">
        <v>80</v>
      </c>
      <c r="O169" s="68"/>
      <c r="P169" s="68" t="s">
        <v>1719</v>
      </c>
      <c r="Q169" s="68" t="s">
        <v>1207</v>
      </c>
      <c r="R169" s="68" t="s">
        <v>1697</v>
      </c>
    </row>
    <row r="170" spans="1:18" ht="41.4" x14ac:dyDescent="0.3">
      <c r="A170" s="70" t="s">
        <v>1619</v>
      </c>
      <c r="B170" s="68" t="s">
        <v>1565</v>
      </c>
      <c r="C170" s="69" t="s">
        <v>1663</v>
      </c>
      <c r="D170" s="68" t="s">
        <v>79</v>
      </c>
      <c r="E170" s="68">
        <v>50</v>
      </c>
      <c r="F170" s="68" t="s">
        <v>128</v>
      </c>
      <c r="G170" s="68" t="s">
        <v>1794</v>
      </c>
      <c r="H170" s="68" t="s">
        <v>127</v>
      </c>
      <c r="I170" s="72">
        <v>12</v>
      </c>
      <c r="J170" s="72"/>
      <c r="K170" s="84">
        <v>0.35</v>
      </c>
      <c r="L170" s="71" t="s">
        <v>342</v>
      </c>
      <c r="M170" s="71" t="s">
        <v>1191</v>
      </c>
      <c r="N170" s="68" t="s">
        <v>80</v>
      </c>
      <c r="O170" s="68"/>
      <c r="P170" s="68" t="s">
        <v>1192</v>
      </c>
      <c r="Q170" s="68" t="s">
        <v>1703</v>
      </c>
      <c r="R170" s="68" t="s">
        <v>1697</v>
      </c>
    </row>
    <row r="171" spans="1:18" ht="41.4" x14ac:dyDescent="0.3">
      <c r="A171" s="70" t="s">
        <v>1619</v>
      </c>
      <c r="B171" s="68" t="s">
        <v>1565</v>
      </c>
      <c r="C171" s="69" t="s">
        <v>1663</v>
      </c>
      <c r="D171" s="68" t="s">
        <v>79</v>
      </c>
      <c r="E171" s="68">
        <v>60</v>
      </c>
      <c r="F171" s="68" t="s">
        <v>135</v>
      </c>
      <c r="G171" s="68" t="s">
        <v>1795</v>
      </c>
      <c r="H171" s="68" t="s">
        <v>124</v>
      </c>
      <c r="I171" s="72">
        <v>25</v>
      </c>
      <c r="J171" s="72"/>
      <c r="K171" s="84">
        <v>0.75</v>
      </c>
      <c r="L171" s="71" t="s">
        <v>342</v>
      </c>
      <c r="M171" s="71" t="s">
        <v>343</v>
      </c>
      <c r="N171" s="68" t="s">
        <v>80</v>
      </c>
      <c r="O171" s="68"/>
      <c r="P171" s="68" t="s">
        <v>1713</v>
      </c>
      <c r="Q171" s="68" t="s">
        <v>1201</v>
      </c>
      <c r="R171" s="68" t="s">
        <v>1697</v>
      </c>
    </row>
    <row r="172" spans="1:18" ht="41.4" x14ac:dyDescent="0.3">
      <c r="A172" s="70" t="s">
        <v>1619</v>
      </c>
      <c r="B172" s="68" t="s">
        <v>1571</v>
      </c>
      <c r="C172" s="69" t="s">
        <v>1568</v>
      </c>
      <c r="D172" s="68" t="s">
        <v>79</v>
      </c>
      <c r="E172" s="68">
        <v>10</v>
      </c>
      <c r="F172" s="68" t="s">
        <v>121</v>
      </c>
      <c r="G172" s="68" t="s">
        <v>1796</v>
      </c>
      <c r="H172" s="68" t="s">
        <v>122</v>
      </c>
      <c r="I172" s="72">
        <v>10</v>
      </c>
      <c r="J172" s="72"/>
      <c r="K172" s="84">
        <v>0.5</v>
      </c>
      <c r="L172" s="71" t="s">
        <v>342</v>
      </c>
      <c r="M172" s="71" t="s">
        <v>1182</v>
      </c>
      <c r="N172" s="68" t="s">
        <v>80</v>
      </c>
      <c r="O172" s="68"/>
      <c r="P172" s="68" t="s">
        <v>1183</v>
      </c>
      <c r="Q172" s="68" t="s">
        <v>1184</v>
      </c>
      <c r="R172" s="68" t="s">
        <v>1697</v>
      </c>
    </row>
    <row r="173" spans="1:18" ht="41.4" x14ac:dyDescent="0.3">
      <c r="A173" s="70" t="s">
        <v>1619</v>
      </c>
      <c r="B173" s="68" t="s">
        <v>1571</v>
      </c>
      <c r="C173" s="69" t="s">
        <v>1568</v>
      </c>
      <c r="D173" s="68" t="s">
        <v>79</v>
      </c>
      <c r="E173" s="68">
        <v>20</v>
      </c>
      <c r="F173" s="68" t="s">
        <v>123</v>
      </c>
      <c r="G173" s="68" t="s">
        <v>1797</v>
      </c>
      <c r="H173" s="68" t="s">
        <v>124</v>
      </c>
      <c r="I173" s="72">
        <v>11</v>
      </c>
      <c r="J173" s="72"/>
      <c r="K173" s="84">
        <v>0.75</v>
      </c>
      <c r="L173" s="71" t="s">
        <v>342</v>
      </c>
      <c r="M173" s="71" t="s">
        <v>1182</v>
      </c>
      <c r="N173" s="68" t="s">
        <v>80</v>
      </c>
      <c r="O173" s="68"/>
      <c r="P173" s="68" t="s">
        <v>1699</v>
      </c>
      <c r="Q173" s="68" t="s">
        <v>1187</v>
      </c>
      <c r="R173" s="68" t="s">
        <v>1697</v>
      </c>
    </row>
    <row r="174" spans="1:18" ht="41.4" x14ac:dyDescent="0.3">
      <c r="A174" s="70" t="s">
        <v>1619</v>
      </c>
      <c r="B174" s="68" t="s">
        <v>1571</v>
      </c>
      <c r="C174" s="69" t="s">
        <v>1568</v>
      </c>
      <c r="D174" s="68" t="s">
        <v>79</v>
      </c>
      <c r="E174" s="68">
        <v>30</v>
      </c>
      <c r="F174" s="68" t="s">
        <v>135</v>
      </c>
      <c r="G174" s="68" t="s">
        <v>1798</v>
      </c>
      <c r="H174" s="68" t="s">
        <v>124</v>
      </c>
      <c r="I174" s="72">
        <v>25</v>
      </c>
      <c r="J174" s="72"/>
      <c r="K174" s="84">
        <v>0.75</v>
      </c>
      <c r="L174" s="71" t="s">
        <v>342</v>
      </c>
      <c r="M174" s="71" t="s">
        <v>343</v>
      </c>
      <c r="N174" s="68" t="s">
        <v>80</v>
      </c>
      <c r="O174" s="68"/>
      <c r="P174" s="68" t="s">
        <v>1713</v>
      </c>
      <c r="Q174" s="68" t="s">
        <v>1201</v>
      </c>
      <c r="R174" s="68" t="s">
        <v>1697</v>
      </c>
    </row>
    <row r="175" spans="1:18" ht="41.4" x14ac:dyDescent="0.3">
      <c r="A175" s="70" t="s">
        <v>1619</v>
      </c>
      <c r="B175" s="68" t="s">
        <v>1575</v>
      </c>
      <c r="C175" s="69" t="s">
        <v>1573</v>
      </c>
      <c r="D175" s="68" t="s">
        <v>79</v>
      </c>
      <c r="E175" s="68">
        <v>10</v>
      </c>
      <c r="F175" s="68" t="s">
        <v>121</v>
      </c>
      <c r="G175" s="68" t="s">
        <v>1799</v>
      </c>
      <c r="H175" s="68" t="s">
        <v>122</v>
      </c>
      <c r="I175" s="72">
        <v>10</v>
      </c>
      <c r="J175" s="72"/>
      <c r="K175" s="84">
        <v>0.5</v>
      </c>
      <c r="L175" s="71" t="s">
        <v>342</v>
      </c>
      <c r="M175" s="71" t="s">
        <v>1182</v>
      </c>
      <c r="N175" s="68" t="s">
        <v>80</v>
      </c>
      <c r="O175" s="68"/>
      <c r="P175" s="68" t="s">
        <v>1183</v>
      </c>
      <c r="Q175" s="68" t="s">
        <v>1184</v>
      </c>
      <c r="R175" s="68" t="s">
        <v>1697</v>
      </c>
    </row>
    <row r="176" spans="1:18" ht="41.4" x14ac:dyDescent="0.3">
      <c r="A176" s="70" t="s">
        <v>1619</v>
      </c>
      <c r="B176" s="68" t="s">
        <v>1575</v>
      </c>
      <c r="C176" s="69" t="s">
        <v>1573</v>
      </c>
      <c r="D176" s="68" t="s">
        <v>79</v>
      </c>
      <c r="E176" s="68">
        <v>20</v>
      </c>
      <c r="F176" s="68" t="s">
        <v>123</v>
      </c>
      <c r="G176" s="68" t="s">
        <v>1800</v>
      </c>
      <c r="H176" s="68" t="s">
        <v>124</v>
      </c>
      <c r="I176" s="72">
        <v>11</v>
      </c>
      <c r="J176" s="72"/>
      <c r="K176" s="84">
        <v>0.75</v>
      </c>
      <c r="L176" s="71" t="s">
        <v>342</v>
      </c>
      <c r="M176" s="71" t="s">
        <v>1182</v>
      </c>
      <c r="N176" s="68" t="s">
        <v>80</v>
      </c>
      <c r="O176" s="68"/>
      <c r="P176" s="68" t="s">
        <v>1699</v>
      </c>
      <c r="Q176" s="68" t="s">
        <v>1187</v>
      </c>
      <c r="R176" s="68" t="s">
        <v>1697</v>
      </c>
    </row>
    <row r="177" spans="1:18" ht="41.4" x14ac:dyDescent="0.3">
      <c r="A177" s="70" t="s">
        <v>1619</v>
      </c>
      <c r="B177" s="68" t="s">
        <v>1575</v>
      </c>
      <c r="C177" s="69" t="s">
        <v>1573</v>
      </c>
      <c r="D177" s="68" t="s">
        <v>79</v>
      </c>
      <c r="E177" s="68">
        <v>30</v>
      </c>
      <c r="F177" s="68" t="s">
        <v>125</v>
      </c>
      <c r="G177" s="68" t="s">
        <v>1801</v>
      </c>
      <c r="H177" s="68" t="s">
        <v>127</v>
      </c>
      <c r="I177" s="72">
        <v>12</v>
      </c>
      <c r="J177" s="72"/>
      <c r="K177" s="84">
        <v>0.3</v>
      </c>
      <c r="L177" s="71" t="s">
        <v>342</v>
      </c>
      <c r="M177" s="71" t="s">
        <v>1188</v>
      </c>
      <c r="N177" s="68" t="s">
        <v>80</v>
      </c>
      <c r="O177" s="68"/>
      <c r="P177" s="68" t="s">
        <v>1189</v>
      </c>
      <c r="Q177" s="68" t="s">
        <v>1701</v>
      </c>
      <c r="R177" s="68" t="s">
        <v>1697</v>
      </c>
    </row>
    <row r="178" spans="1:18" ht="41.4" x14ac:dyDescent="0.3">
      <c r="A178" s="70" t="s">
        <v>1619</v>
      </c>
      <c r="B178" s="68" t="s">
        <v>1575</v>
      </c>
      <c r="C178" s="69" t="s">
        <v>1573</v>
      </c>
      <c r="D178" s="68" t="s">
        <v>79</v>
      </c>
      <c r="E178" s="68">
        <v>40</v>
      </c>
      <c r="F178" s="68" t="s">
        <v>136</v>
      </c>
      <c r="G178" s="68" t="s">
        <v>1802</v>
      </c>
      <c r="H178" s="68" t="s">
        <v>137</v>
      </c>
      <c r="I178" s="72">
        <v>14</v>
      </c>
      <c r="J178" s="72"/>
      <c r="K178" s="84">
        <v>2</v>
      </c>
      <c r="L178" s="71" t="s">
        <v>342</v>
      </c>
      <c r="M178" s="71" t="s">
        <v>343</v>
      </c>
      <c r="N178" s="68" t="s">
        <v>80</v>
      </c>
      <c r="O178" s="68"/>
      <c r="P178" s="68" t="s">
        <v>1719</v>
      </c>
      <c r="Q178" s="68" t="s">
        <v>1207</v>
      </c>
      <c r="R178" s="68" t="s">
        <v>1697</v>
      </c>
    </row>
    <row r="179" spans="1:18" ht="41.4" x14ac:dyDescent="0.3">
      <c r="A179" s="70" t="s">
        <v>1619</v>
      </c>
      <c r="B179" s="68" t="s">
        <v>1575</v>
      </c>
      <c r="C179" s="69" t="s">
        <v>1573</v>
      </c>
      <c r="D179" s="68" t="s">
        <v>79</v>
      </c>
      <c r="E179" s="68">
        <v>50</v>
      </c>
      <c r="F179" s="68" t="s">
        <v>128</v>
      </c>
      <c r="G179" s="68" t="s">
        <v>1803</v>
      </c>
      <c r="H179" s="68" t="s">
        <v>127</v>
      </c>
      <c r="I179" s="72">
        <v>12</v>
      </c>
      <c r="J179" s="72"/>
      <c r="K179" s="84">
        <v>0.35</v>
      </c>
      <c r="L179" s="71" t="s">
        <v>342</v>
      </c>
      <c r="M179" s="71" t="s">
        <v>1191</v>
      </c>
      <c r="N179" s="68" t="s">
        <v>80</v>
      </c>
      <c r="O179" s="68"/>
      <c r="P179" s="68" t="s">
        <v>1192</v>
      </c>
      <c r="Q179" s="68" t="s">
        <v>1703</v>
      </c>
      <c r="R179" s="68" t="s">
        <v>1697</v>
      </c>
    </row>
    <row r="180" spans="1:18" ht="41.4" x14ac:dyDescent="0.3">
      <c r="A180" s="70" t="s">
        <v>1619</v>
      </c>
      <c r="B180" s="68" t="s">
        <v>1575</v>
      </c>
      <c r="C180" s="69" t="s">
        <v>1573</v>
      </c>
      <c r="D180" s="68" t="s">
        <v>79</v>
      </c>
      <c r="E180" s="68">
        <v>60</v>
      </c>
      <c r="F180" s="68" t="s">
        <v>135</v>
      </c>
      <c r="G180" s="68" t="s">
        <v>1804</v>
      </c>
      <c r="H180" s="68" t="s">
        <v>124</v>
      </c>
      <c r="I180" s="72">
        <v>25</v>
      </c>
      <c r="J180" s="72"/>
      <c r="K180" s="84">
        <v>0.75</v>
      </c>
      <c r="L180" s="71" t="s">
        <v>342</v>
      </c>
      <c r="M180" s="71" t="s">
        <v>343</v>
      </c>
      <c r="N180" s="68" t="s">
        <v>80</v>
      </c>
      <c r="O180" s="68"/>
      <c r="P180" s="68" t="s">
        <v>1713</v>
      </c>
      <c r="Q180" s="68" t="s">
        <v>1201</v>
      </c>
      <c r="R180" s="68" t="s">
        <v>1697</v>
      </c>
    </row>
    <row r="181" spans="1:18" ht="41.4" x14ac:dyDescent="0.3">
      <c r="A181" s="70" t="s">
        <v>1619</v>
      </c>
      <c r="B181" s="68" t="s">
        <v>1578</v>
      </c>
      <c r="C181" s="69" t="s">
        <v>1670</v>
      </c>
      <c r="D181" s="68" t="s">
        <v>79</v>
      </c>
      <c r="E181" s="68">
        <v>10</v>
      </c>
      <c r="F181" s="68" t="s">
        <v>121</v>
      </c>
      <c r="G181" s="68" t="s">
        <v>1805</v>
      </c>
      <c r="H181" s="68" t="s">
        <v>122</v>
      </c>
      <c r="I181" s="72">
        <v>10</v>
      </c>
      <c r="J181" s="72"/>
      <c r="K181" s="84">
        <v>0.5</v>
      </c>
      <c r="L181" s="71" t="s">
        <v>342</v>
      </c>
      <c r="M181" s="71" t="s">
        <v>1182</v>
      </c>
      <c r="N181" s="68" t="s">
        <v>80</v>
      </c>
      <c r="O181" s="68"/>
      <c r="P181" s="68" t="s">
        <v>1183</v>
      </c>
      <c r="Q181" s="68" t="s">
        <v>1184</v>
      </c>
      <c r="R181" s="68" t="s">
        <v>1697</v>
      </c>
    </row>
    <row r="182" spans="1:18" ht="41.4" x14ac:dyDescent="0.3">
      <c r="A182" s="70" t="s">
        <v>1619</v>
      </c>
      <c r="B182" s="68" t="s">
        <v>1578</v>
      </c>
      <c r="C182" s="69" t="s">
        <v>1670</v>
      </c>
      <c r="D182" s="68" t="s">
        <v>79</v>
      </c>
      <c r="E182" s="68">
        <v>20</v>
      </c>
      <c r="F182" s="68" t="s">
        <v>123</v>
      </c>
      <c r="G182" s="68" t="s">
        <v>1806</v>
      </c>
      <c r="H182" s="68" t="s">
        <v>124</v>
      </c>
      <c r="I182" s="72">
        <v>11</v>
      </c>
      <c r="J182" s="72"/>
      <c r="K182" s="84">
        <v>0.75</v>
      </c>
      <c r="L182" s="71" t="s">
        <v>342</v>
      </c>
      <c r="M182" s="71" t="s">
        <v>1182</v>
      </c>
      <c r="N182" s="68" t="s">
        <v>80</v>
      </c>
      <c r="O182" s="68"/>
      <c r="P182" s="68" t="s">
        <v>1699</v>
      </c>
      <c r="Q182" s="68" t="s">
        <v>1187</v>
      </c>
      <c r="R182" s="68" t="s">
        <v>1697</v>
      </c>
    </row>
    <row r="183" spans="1:18" ht="41.4" x14ac:dyDescent="0.3">
      <c r="A183" s="70" t="s">
        <v>1619</v>
      </c>
      <c r="B183" s="68" t="s">
        <v>1578</v>
      </c>
      <c r="C183" s="69" t="s">
        <v>1670</v>
      </c>
      <c r="D183" s="68" t="s">
        <v>79</v>
      </c>
      <c r="E183" s="68">
        <v>30</v>
      </c>
      <c r="F183" s="68" t="s">
        <v>136</v>
      </c>
      <c r="G183" s="68" t="s">
        <v>1807</v>
      </c>
      <c r="H183" s="68" t="s">
        <v>137</v>
      </c>
      <c r="I183" s="72">
        <v>14</v>
      </c>
      <c r="J183" s="72"/>
      <c r="K183" s="84">
        <v>2</v>
      </c>
      <c r="L183" s="71" t="s">
        <v>342</v>
      </c>
      <c r="M183" s="71" t="s">
        <v>343</v>
      </c>
      <c r="N183" s="68" t="s">
        <v>80</v>
      </c>
      <c r="O183" s="68"/>
      <c r="P183" s="68" t="s">
        <v>1719</v>
      </c>
      <c r="Q183" s="68" t="s">
        <v>1207</v>
      </c>
      <c r="R183" s="68" t="s">
        <v>1697</v>
      </c>
    </row>
    <row r="184" spans="1:18" ht="41.4" x14ac:dyDescent="0.3">
      <c r="A184" s="70" t="s">
        <v>1619</v>
      </c>
      <c r="B184" s="68" t="s">
        <v>1578</v>
      </c>
      <c r="C184" s="69" t="s">
        <v>1670</v>
      </c>
      <c r="D184" s="68" t="s">
        <v>79</v>
      </c>
      <c r="E184" s="68">
        <v>40</v>
      </c>
      <c r="F184" s="68" t="s">
        <v>135</v>
      </c>
      <c r="G184" s="68" t="s">
        <v>1808</v>
      </c>
      <c r="H184" s="68" t="s">
        <v>124</v>
      </c>
      <c r="I184" s="72">
        <v>25</v>
      </c>
      <c r="J184" s="72"/>
      <c r="K184" s="84">
        <v>0.75</v>
      </c>
      <c r="L184" s="71" t="s">
        <v>342</v>
      </c>
      <c r="M184" s="71" t="s">
        <v>343</v>
      </c>
      <c r="N184" s="68" t="s">
        <v>80</v>
      </c>
      <c r="O184" s="68"/>
      <c r="P184" s="68" t="s">
        <v>1713</v>
      </c>
      <c r="Q184" s="68" t="s">
        <v>1201</v>
      </c>
      <c r="R184" s="68" t="s">
        <v>1697</v>
      </c>
    </row>
    <row r="185" spans="1:18" ht="41.4" x14ac:dyDescent="0.3">
      <c r="A185" s="70" t="s">
        <v>1619</v>
      </c>
      <c r="B185" s="68" t="s">
        <v>1582</v>
      </c>
      <c r="C185" s="69" t="s">
        <v>1673</v>
      </c>
      <c r="D185" s="68" t="s">
        <v>79</v>
      </c>
      <c r="E185" s="68">
        <v>10</v>
      </c>
      <c r="F185" s="68" t="s">
        <v>121</v>
      </c>
      <c r="G185" s="68" t="s">
        <v>1809</v>
      </c>
      <c r="H185" s="68" t="s">
        <v>122</v>
      </c>
      <c r="I185" s="72">
        <v>10</v>
      </c>
      <c r="J185" s="72"/>
      <c r="K185" s="84">
        <v>0.5</v>
      </c>
      <c r="L185" s="71" t="s">
        <v>342</v>
      </c>
      <c r="M185" s="71" t="s">
        <v>1182</v>
      </c>
      <c r="N185" s="68" t="s">
        <v>80</v>
      </c>
      <c r="O185" s="68"/>
      <c r="P185" s="68" t="s">
        <v>1183</v>
      </c>
      <c r="Q185" s="68" t="s">
        <v>1184</v>
      </c>
      <c r="R185" s="68" t="s">
        <v>1697</v>
      </c>
    </row>
    <row r="186" spans="1:18" ht="41.4" x14ac:dyDescent="0.3">
      <c r="A186" s="70" t="s">
        <v>1619</v>
      </c>
      <c r="B186" s="68" t="s">
        <v>1582</v>
      </c>
      <c r="C186" s="69" t="s">
        <v>1673</v>
      </c>
      <c r="D186" s="68" t="s">
        <v>79</v>
      </c>
      <c r="E186" s="68">
        <v>20</v>
      </c>
      <c r="F186" s="68" t="s">
        <v>123</v>
      </c>
      <c r="G186" s="68" t="s">
        <v>1810</v>
      </c>
      <c r="H186" s="68" t="s">
        <v>124</v>
      </c>
      <c r="I186" s="72">
        <v>11</v>
      </c>
      <c r="J186" s="72"/>
      <c r="K186" s="84">
        <v>0.75</v>
      </c>
      <c r="L186" s="71" t="s">
        <v>342</v>
      </c>
      <c r="M186" s="71" t="s">
        <v>1182</v>
      </c>
      <c r="N186" s="68" t="s">
        <v>80</v>
      </c>
      <c r="O186" s="68"/>
      <c r="P186" s="68" t="s">
        <v>1699</v>
      </c>
      <c r="Q186" s="68" t="s">
        <v>1187</v>
      </c>
      <c r="R186" s="68" t="s">
        <v>1697</v>
      </c>
    </row>
    <row r="187" spans="1:18" ht="41.4" x14ac:dyDescent="0.3">
      <c r="A187" s="70" t="s">
        <v>1619</v>
      </c>
      <c r="B187" s="68" t="s">
        <v>1582</v>
      </c>
      <c r="C187" s="69" t="s">
        <v>1673</v>
      </c>
      <c r="D187" s="68" t="s">
        <v>79</v>
      </c>
      <c r="E187" s="68">
        <v>30</v>
      </c>
      <c r="F187" s="68" t="s">
        <v>125</v>
      </c>
      <c r="G187" s="68" t="s">
        <v>1811</v>
      </c>
      <c r="H187" s="68" t="s">
        <v>127</v>
      </c>
      <c r="I187" s="72">
        <v>12</v>
      </c>
      <c r="J187" s="72"/>
      <c r="K187" s="84">
        <v>0.3</v>
      </c>
      <c r="L187" s="71" t="s">
        <v>342</v>
      </c>
      <c r="M187" s="71" t="s">
        <v>1188</v>
      </c>
      <c r="N187" s="68" t="s">
        <v>80</v>
      </c>
      <c r="O187" s="68"/>
      <c r="P187" s="68" t="s">
        <v>1189</v>
      </c>
      <c r="Q187" s="68" t="s">
        <v>1701</v>
      </c>
      <c r="R187" s="68" t="s">
        <v>1697</v>
      </c>
    </row>
    <row r="188" spans="1:18" ht="41.4" x14ac:dyDescent="0.3">
      <c r="A188" s="70" t="s">
        <v>1619</v>
      </c>
      <c r="B188" s="68" t="s">
        <v>1582</v>
      </c>
      <c r="C188" s="69" t="s">
        <v>1673</v>
      </c>
      <c r="D188" s="68" t="s">
        <v>79</v>
      </c>
      <c r="E188" s="68">
        <v>40</v>
      </c>
      <c r="F188" s="68" t="s">
        <v>139</v>
      </c>
      <c r="G188" s="68" t="s">
        <v>1812</v>
      </c>
      <c r="H188" s="68" t="s">
        <v>127</v>
      </c>
      <c r="I188" s="72">
        <v>13</v>
      </c>
      <c r="J188" s="72"/>
      <c r="K188" s="84">
        <v>3</v>
      </c>
      <c r="L188" s="71" t="s">
        <v>342</v>
      </c>
      <c r="M188" s="71" t="s">
        <v>343</v>
      </c>
      <c r="N188" s="68" t="s">
        <v>80</v>
      </c>
      <c r="O188" s="68"/>
      <c r="P188" s="68" t="s">
        <v>1763</v>
      </c>
      <c r="Q188" s="68" t="s">
        <v>1764</v>
      </c>
      <c r="R188" s="68" t="s">
        <v>1697</v>
      </c>
    </row>
    <row r="189" spans="1:18" ht="41.4" x14ac:dyDescent="0.3">
      <c r="A189" s="70" t="s">
        <v>1619</v>
      </c>
      <c r="B189" s="68" t="s">
        <v>1582</v>
      </c>
      <c r="C189" s="69" t="s">
        <v>1673</v>
      </c>
      <c r="D189" s="68" t="s">
        <v>79</v>
      </c>
      <c r="E189" s="68">
        <v>50</v>
      </c>
      <c r="F189" s="68" t="s">
        <v>135</v>
      </c>
      <c r="G189" s="68" t="s">
        <v>1813</v>
      </c>
      <c r="H189" s="68" t="s">
        <v>124</v>
      </c>
      <c r="I189" s="72">
        <v>25</v>
      </c>
      <c r="J189" s="72"/>
      <c r="K189" s="84">
        <v>0.75</v>
      </c>
      <c r="L189" s="71" t="s">
        <v>342</v>
      </c>
      <c r="M189" s="71" t="s">
        <v>343</v>
      </c>
      <c r="N189" s="68" t="s">
        <v>80</v>
      </c>
      <c r="O189" s="68"/>
      <c r="P189" s="68" t="s">
        <v>1713</v>
      </c>
      <c r="Q189" s="68" t="s">
        <v>1201</v>
      </c>
      <c r="R189" s="68" t="s">
        <v>1697</v>
      </c>
    </row>
    <row r="190" spans="1:18" ht="41.4" x14ac:dyDescent="0.3">
      <c r="A190" s="70" t="s">
        <v>1619</v>
      </c>
      <c r="B190" s="68" t="s">
        <v>1585</v>
      </c>
      <c r="C190" s="69" t="s">
        <v>1583</v>
      </c>
      <c r="D190" s="68" t="s">
        <v>79</v>
      </c>
      <c r="E190" s="68">
        <v>10</v>
      </c>
      <c r="F190" s="68" t="s">
        <v>121</v>
      </c>
      <c r="G190" s="68" t="s">
        <v>1814</v>
      </c>
      <c r="H190" s="68" t="s">
        <v>122</v>
      </c>
      <c r="I190" s="72">
        <v>10</v>
      </c>
      <c r="J190" s="72"/>
      <c r="K190" s="84">
        <v>0.5</v>
      </c>
      <c r="L190" s="71" t="s">
        <v>342</v>
      </c>
      <c r="M190" s="71" t="s">
        <v>1182</v>
      </c>
      <c r="N190" s="68" t="s">
        <v>80</v>
      </c>
      <c r="O190" s="68"/>
      <c r="P190" s="68" t="s">
        <v>1183</v>
      </c>
      <c r="Q190" s="68" t="s">
        <v>1184</v>
      </c>
      <c r="R190" s="68" t="s">
        <v>1697</v>
      </c>
    </row>
    <row r="191" spans="1:18" ht="41.4" x14ac:dyDescent="0.3">
      <c r="A191" s="70" t="s">
        <v>1619</v>
      </c>
      <c r="B191" s="68" t="s">
        <v>1585</v>
      </c>
      <c r="C191" s="69" t="s">
        <v>1583</v>
      </c>
      <c r="D191" s="68" t="s">
        <v>79</v>
      </c>
      <c r="E191" s="68">
        <v>20</v>
      </c>
      <c r="F191" s="68" t="s">
        <v>123</v>
      </c>
      <c r="G191" s="68" t="s">
        <v>1815</v>
      </c>
      <c r="H191" s="68" t="s">
        <v>124</v>
      </c>
      <c r="I191" s="72">
        <v>11</v>
      </c>
      <c r="J191" s="72"/>
      <c r="K191" s="84">
        <v>0.75</v>
      </c>
      <c r="L191" s="71" t="s">
        <v>342</v>
      </c>
      <c r="M191" s="71" t="s">
        <v>1182</v>
      </c>
      <c r="N191" s="68" t="s">
        <v>80</v>
      </c>
      <c r="O191" s="68"/>
      <c r="P191" s="68" t="s">
        <v>1699</v>
      </c>
      <c r="Q191" s="68" t="s">
        <v>1187</v>
      </c>
      <c r="R191" s="68" t="s">
        <v>1697</v>
      </c>
    </row>
    <row r="192" spans="1:18" ht="41.4" x14ac:dyDescent="0.3">
      <c r="A192" s="70" t="s">
        <v>1619</v>
      </c>
      <c r="B192" s="68" t="s">
        <v>1585</v>
      </c>
      <c r="C192" s="69" t="s">
        <v>1583</v>
      </c>
      <c r="D192" s="68" t="s">
        <v>79</v>
      </c>
      <c r="E192" s="68">
        <v>30</v>
      </c>
      <c r="F192" s="68" t="s">
        <v>136</v>
      </c>
      <c r="G192" s="68" t="s">
        <v>1816</v>
      </c>
      <c r="H192" s="68" t="s">
        <v>137</v>
      </c>
      <c r="I192" s="72">
        <v>14</v>
      </c>
      <c r="J192" s="72"/>
      <c r="K192" s="84">
        <v>2</v>
      </c>
      <c r="L192" s="71" t="s">
        <v>342</v>
      </c>
      <c r="M192" s="71" t="s">
        <v>343</v>
      </c>
      <c r="N192" s="68" t="s">
        <v>80</v>
      </c>
      <c r="O192" s="68"/>
      <c r="P192" s="68" t="s">
        <v>1719</v>
      </c>
      <c r="Q192" s="68" t="s">
        <v>1207</v>
      </c>
      <c r="R192" s="68" t="s">
        <v>1697</v>
      </c>
    </row>
    <row r="193" spans="1:18" ht="41.4" x14ac:dyDescent="0.3">
      <c r="A193" s="70" t="s">
        <v>1619</v>
      </c>
      <c r="B193" s="68" t="s">
        <v>1585</v>
      </c>
      <c r="C193" s="69" t="s">
        <v>1583</v>
      </c>
      <c r="D193" s="68" t="s">
        <v>79</v>
      </c>
      <c r="E193" s="68">
        <v>40</v>
      </c>
      <c r="F193" s="68" t="s">
        <v>135</v>
      </c>
      <c r="G193" s="68" t="s">
        <v>1817</v>
      </c>
      <c r="H193" s="68" t="s">
        <v>124</v>
      </c>
      <c r="I193" s="72">
        <v>25</v>
      </c>
      <c r="J193" s="72"/>
      <c r="K193" s="84">
        <v>0.75</v>
      </c>
      <c r="L193" s="71" t="s">
        <v>342</v>
      </c>
      <c r="M193" s="71" t="s">
        <v>343</v>
      </c>
      <c r="N193" s="68" t="s">
        <v>80</v>
      </c>
      <c r="O193" s="68"/>
      <c r="P193" s="68" t="s">
        <v>1713</v>
      </c>
      <c r="Q193" s="68" t="s">
        <v>1201</v>
      </c>
      <c r="R193" s="68" t="s">
        <v>1697</v>
      </c>
    </row>
    <row r="194" spans="1:18" ht="41.4" x14ac:dyDescent="0.3">
      <c r="A194" s="70" t="s">
        <v>1619</v>
      </c>
      <c r="B194" s="68" t="s">
        <v>1589</v>
      </c>
      <c r="C194" s="69" t="s">
        <v>1678</v>
      </c>
      <c r="D194" s="68" t="s">
        <v>79</v>
      </c>
      <c r="E194" s="68">
        <v>10</v>
      </c>
      <c r="F194" s="68" t="s">
        <v>121</v>
      </c>
      <c r="G194" s="68" t="s">
        <v>1818</v>
      </c>
      <c r="H194" s="68" t="s">
        <v>122</v>
      </c>
      <c r="I194" s="72">
        <v>10</v>
      </c>
      <c r="J194" s="72"/>
      <c r="K194" s="84">
        <v>0.5</v>
      </c>
      <c r="L194" s="71" t="s">
        <v>342</v>
      </c>
      <c r="M194" s="71" t="s">
        <v>1182</v>
      </c>
      <c r="N194" s="68" t="s">
        <v>80</v>
      </c>
      <c r="O194" s="68"/>
      <c r="P194" s="68" t="s">
        <v>1183</v>
      </c>
      <c r="Q194" s="68" t="s">
        <v>1184</v>
      </c>
      <c r="R194" s="68" t="s">
        <v>1697</v>
      </c>
    </row>
    <row r="195" spans="1:18" ht="41.4" x14ac:dyDescent="0.3">
      <c r="A195" s="70" t="s">
        <v>1619</v>
      </c>
      <c r="B195" s="68" t="s">
        <v>1589</v>
      </c>
      <c r="C195" s="69" t="s">
        <v>1678</v>
      </c>
      <c r="D195" s="68" t="s">
        <v>79</v>
      </c>
      <c r="E195" s="68">
        <v>20</v>
      </c>
      <c r="F195" s="68" t="s">
        <v>123</v>
      </c>
      <c r="G195" s="68" t="s">
        <v>1819</v>
      </c>
      <c r="H195" s="68" t="s">
        <v>124</v>
      </c>
      <c r="I195" s="72">
        <v>11</v>
      </c>
      <c r="J195" s="72"/>
      <c r="K195" s="84">
        <v>0.75</v>
      </c>
      <c r="L195" s="71" t="s">
        <v>342</v>
      </c>
      <c r="M195" s="71" t="s">
        <v>1182</v>
      </c>
      <c r="N195" s="68" t="s">
        <v>80</v>
      </c>
      <c r="O195" s="68"/>
      <c r="P195" s="68" t="s">
        <v>1699</v>
      </c>
      <c r="Q195" s="68" t="s">
        <v>1187</v>
      </c>
      <c r="R195" s="68" t="s">
        <v>1697</v>
      </c>
    </row>
    <row r="196" spans="1:18" ht="41.4" x14ac:dyDescent="0.3">
      <c r="A196" s="70" t="s">
        <v>1619</v>
      </c>
      <c r="B196" s="68" t="s">
        <v>1589</v>
      </c>
      <c r="C196" s="69" t="s">
        <v>1678</v>
      </c>
      <c r="D196" s="68" t="s">
        <v>79</v>
      </c>
      <c r="E196" s="68">
        <v>30</v>
      </c>
      <c r="F196" s="68" t="s">
        <v>125</v>
      </c>
      <c r="G196" s="68" t="s">
        <v>1820</v>
      </c>
      <c r="H196" s="68" t="s">
        <v>127</v>
      </c>
      <c r="I196" s="72">
        <v>12</v>
      </c>
      <c r="J196" s="72"/>
      <c r="K196" s="84">
        <v>0.3</v>
      </c>
      <c r="L196" s="71" t="s">
        <v>342</v>
      </c>
      <c r="M196" s="71" t="s">
        <v>1188</v>
      </c>
      <c r="N196" s="68" t="s">
        <v>80</v>
      </c>
      <c r="O196" s="68"/>
      <c r="P196" s="68" t="s">
        <v>1189</v>
      </c>
      <c r="Q196" s="68" t="s">
        <v>1701</v>
      </c>
      <c r="R196" s="68" t="s">
        <v>1697</v>
      </c>
    </row>
    <row r="197" spans="1:18" ht="41.4" x14ac:dyDescent="0.3">
      <c r="A197" s="70" t="s">
        <v>1619</v>
      </c>
      <c r="B197" s="68" t="s">
        <v>1589</v>
      </c>
      <c r="C197" s="69" t="s">
        <v>1678</v>
      </c>
      <c r="D197" s="68" t="s">
        <v>79</v>
      </c>
      <c r="E197" s="68">
        <v>40</v>
      </c>
      <c r="F197" s="68" t="s">
        <v>129</v>
      </c>
      <c r="G197" s="68" t="s">
        <v>1821</v>
      </c>
      <c r="H197" s="68" t="s">
        <v>127</v>
      </c>
      <c r="I197" s="72">
        <v>13</v>
      </c>
      <c r="J197" s="72"/>
      <c r="K197" s="84">
        <v>4</v>
      </c>
      <c r="L197" s="71" t="s">
        <v>342</v>
      </c>
      <c r="M197" s="71" t="s">
        <v>343</v>
      </c>
      <c r="N197" s="68" t="s">
        <v>80</v>
      </c>
      <c r="O197" s="68"/>
      <c r="P197" s="68" t="s">
        <v>1705</v>
      </c>
      <c r="Q197" s="68" t="s">
        <v>1195</v>
      </c>
      <c r="R197" s="68" t="s">
        <v>1697</v>
      </c>
    </row>
    <row r="198" spans="1:18" ht="41.4" x14ac:dyDescent="0.3">
      <c r="A198" s="70" t="s">
        <v>1619</v>
      </c>
      <c r="B198" s="68" t="s">
        <v>1589</v>
      </c>
      <c r="C198" s="69" t="s">
        <v>1678</v>
      </c>
      <c r="D198" s="68" t="s">
        <v>79</v>
      </c>
      <c r="E198" s="68">
        <v>50</v>
      </c>
      <c r="F198" s="68" t="s">
        <v>130</v>
      </c>
      <c r="G198" s="68" t="s">
        <v>1822</v>
      </c>
      <c r="H198" s="68" t="s">
        <v>131</v>
      </c>
      <c r="I198" s="72">
        <v>19</v>
      </c>
      <c r="J198" s="72"/>
      <c r="K198" s="84">
        <v>1.5</v>
      </c>
      <c r="L198" s="71" t="s">
        <v>342</v>
      </c>
      <c r="M198" s="71" t="s">
        <v>357</v>
      </c>
      <c r="N198" s="68" t="s">
        <v>80</v>
      </c>
      <c r="O198" s="68"/>
      <c r="P198" s="68" t="s">
        <v>1707</v>
      </c>
      <c r="Q198" s="68" t="s">
        <v>132</v>
      </c>
      <c r="R198" s="68" t="s">
        <v>1697</v>
      </c>
    </row>
    <row r="199" spans="1:18" ht="41.4" x14ac:dyDescent="0.3">
      <c r="A199" s="70" t="s">
        <v>1619</v>
      </c>
      <c r="B199" s="68" t="s">
        <v>1589</v>
      </c>
      <c r="C199" s="69" t="s">
        <v>1678</v>
      </c>
      <c r="D199" s="68" t="s">
        <v>79</v>
      </c>
      <c r="E199" s="68">
        <v>60</v>
      </c>
      <c r="F199" s="68" t="s">
        <v>133</v>
      </c>
      <c r="G199" s="68" t="s">
        <v>1823</v>
      </c>
      <c r="H199" s="68" t="s">
        <v>131</v>
      </c>
      <c r="I199" s="72">
        <v>20</v>
      </c>
      <c r="J199" s="72"/>
      <c r="K199" s="84">
        <v>1.2</v>
      </c>
      <c r="L199" s="71" t="s">
        <v>342</v>
      </c>
      <c r="M199" s="71" t="s">
        <v>351</v>
      </c>
      <c r="N199" s="68" t="s">
        <v>80</v>
      </c>
      <c r="O199" s="68"/>
      <c r="P199" s="68" t="s">
        <v>1197</v>
      </c>
      <c r="Q199" s="68" t="s">
        <v>1198</v>
      </c>
      <c r="R199" s="68" t="s">
        <v>1697</v>
      </c>
    </row>
    <row r="200" spans="1:18" ht="41.4" x14ac:dyDescent="0.3">
      <c r="A200" s="70" t="s">
        <v>1619</v>
      </c>
      <c r="B200" s="68" t="s">
        <v>1589</v>
      </c>
      <c r="C200" s="69" t="s">
        <v>1678</v>
      </c>
      <c r="D200" s="68" t="s">
        <v>79</v>
      </c>
      <c r="E200" s="68">
        <v>70</v>
      </c>
      <c r="F200" s="68" t="s">
        <v>134</v>
      </c>
      <c r="G200" s="68" t="s">
        <v>1824</v>
      </c>
      <c r="H200" s="68" t="s">
        <v>124</v>
      </c>
      <c r="I200" s="72">
        <v>22</v>
      </c>
      <c r="J200" s="72"/>
      <c r="K200" s="84">
        <v>1</v>
      </c>
      <c r="L200" s="71" t="s">
        <v>342</v>
      </c>
      <c r="M200" s="71" t="s">
        <v>357</v>
      </c>
      <c r="N200" s="68" t="s">
        <v>104</v>
      </c>
      <c r="O200" s="68" t="s">
        <v>1710</v>
      </c>
      <c r="P200" s="68" t="s">
        <v>1711</v>
      </c>
      <c r="Q200" s="68" t="s">
        <v>407</v>
      </c>
      <c r="R200" s="68" t="s">
        <v>1697</v>
      </c>
    </row>
    <row r="201" spans="1:18" ht="41.4" x14ac:dyDescent="0.3">
      <c r="A201" s="70" t="s">
        <v>1619</v>
      </c>
      <c r="B201" s="68" t="s">
        <v>1589</v>
      </c>
      <c r="C201" s="69" t="s">
        <v>1678</v>
      </c>
      <c r="D201" s="68" t="s">
        <v>79</v>
      </c>
      <c r="E201" s="68">
        <v>80</v>
      </c>
      <c r="F201" s="68" t="s">
        <v>135</v>
      </c>
      <c r="G201" s="68" t="s">
        <v>1825</v>
      </c>
      <c r="H201" s="68" t="s">
        <v>124</v>
      </c>
      <c r="I201" s="72">
        <v>25</v>
      </c>
      <c r="J201" s="72"/>
      <c r="K201" s="84">
        <v>0.75</v>
      </c>
      <c r="L201" s="71" t="s">
        <v>342</v>
      </c>
      <c r="M201" s="71" t="s">
        <v>343</v>
      </c>
      <c r="N201" s="68" t="s">
        <v>80</v>
      </c>
      <c r="O201" s="68"/>
      <c r="P201" s="68" t="s">
        <v>1713</v>
      </c>
      <c r="Q201" s="68" t="s">
        <v>1201</v>
      </c>
      <c r="R201" s="68" t="s">
        <v>1697</v>
      </c>
    </row>
    <row r="202" spans="1:18" ht="41.4" x14ac:dyDescent="0.3">
      <c r="A202" s="70" t="s">
        <v>1619</v>
      </c>
      <c r="B202" s="68" t="s">
        <v>1598</v>
      </c>
      <c r="C202" s="69" t="s">
        <v>1681</v>
      </c>
      <c r="D202" s="68" t="s">
        <v>79</v>
      </c>
      <c r="E202" s="68">
        <v>10</v>
      </c>
      <c r="F202" s="68" t="s">
        <v>121</v>
      </c>
      <c r="G202" s="68" t="s">
        <v>1826</v>
      </c>
      <c r="H202" s="68" t="s">
        <v>122</v>
      </c>
      <c r="I202" s="72">
        <v>10</v>
      </c>
      <c r="J202" s="72"/>
      <c r="K202" s="84">
        <v>0.5</v>
      </c>
      <c r="L202" s="71" t="s">
        <v>342</v>
      </c>
      <c r="M202" s="71" t="s">
        <v>1182</v>
      </c>
      <c r="N202" s="68" t="s">
        <v>80</v>
      </c>
      <c r="O202" s="68"/>
      <c r="P202" s="68" t="s">
        <v>1183</v>
      </c>
      <c r="Q202" s="68" t="s">
        <v>1184</v>
      </c>
      <c r="R202" s="68" t="s">
        <v>1697</v>
      </c>
    </row>
    <row r="203" spans="1:18" ht="41.4" x14ac:dyDescent="0.3">
      <c r="A203" s="70" t="s">
        <v>1619</v>
      </c>
      <c r="B203" s="68" t="s">
        <v>1598</v>
      </c>
      <c r="C203" s="69" t="s">
        <v>1681</v>
      </c>
      <c r="D203" s="68" t="s">
        <v>79</v>
      </c>
      <c r="E203" s="68">
        <v>20</v>
      </c>
      <c r="F203" s="68" t="s">
        <v>123</v>
      </c>
      <c r="G203" s="68" t="s">
        <v>1827</v>
      </c>
      <c r="H203" s="68" t="s">
        <v>124</v>
      </c>
      <c r="I203" s="72">
        <v>11</v>
      </c>
      <c r="J203" s="72"/>
      <c r="K203" s="84">
        <v>0.75</v>
      </c>
      <c r="L203" s="71" t="s">
        <v>342</v>
      </c>
      <c r="M203" s="71" t="s">
        <v>1182</v>
      </c>
      <c r="N203" s="68" t="s">
        <v>80</v>
      </c>
      <c r="O203" s="68"/>
      <c r="P203" s="68" t="s">
        <v>1699</v>
      </c>
      <c r="Q203" s="68" t="s">
        <v>1187</v>
      </c>
      <c r="R203" s="68" t="s">
        <v>1697</v>
      </c>
    </row>
    <row r="204" spans="1:18" ht="41.4" x14ac:dyDescent="0.3">
      <c r="A204" s="70" t="s">
        <v>1619</v>
      </c>
      <c r="B204" s="68" t="s">
        <v>1598</v>
      </c>
      <c r="C204" s="69" t="s">
        <v>1681</v>
      </c>
      <c r="D204" s="68" t="s">
        <v>79</v>
      </c>
      <c r="E204" s="68">
        <v>30</v>
      </c>
      <c r="F204" s="68" t="s">
        <v>125</v>
      </c>
      <c r="G204" s="68" t="s">
        <v>1828</v>
      </c>
      <c r="H204" s="68" t="s">
        <v>127</v>
      </c>
      <c r="I204" s="72">
        <v>12</v>
      </c>
      <c r="J204" s="72"/>
      <c r="K204" s="84">
        <v>0.3</v>
      </c>
      <c r="L204" s="71" t="s">
        <v>342</v>
      </c>
      <c r="M204" s="71" t="s">
        <v>1188</v>
      </c>
      <c r="N204" s="68" t="s">
        <v>80</v>
      </c>
      <c r="O204" s="68"/>
      <c r="P204" s="68" t="s">
        <v>1189</v>
      </c>
      <c r="Q204" s="68" t="s">
        <v>1701</v>
      </c>
      <c r="R204" s="68" t="s">
        <v>1697</v>
      </c>
    </row>
    <row r="205" spans="1:18" ht="41.4" x14ac:dyDescent="0.3">
      <c r="A205" s="70" t="s">
        <v>1619</v>
      </c>
      <c r="B205" s="68" t="s">
        <v>1598</v>
      </c>
      <c r="C205" s="69" t="s">
        <v>1681</v>
      </c>
      <c r="D205" s="68" t="s">
        <v>79</v>
      </c>
      <c r="E205" s="68">
        <v>40</v>
      </c>
      <c r="F205" s="68" t="s">
        <v>129</v>
      </c>
      <c r="G205" s="68" t="s">
        <v>1829</v>
      </c>
      <c r="H205" s="68" t="s">
        <v>127</v>
      </c>
      <c r="I205" s="72">
        <v>13</v>
      </c>
      <c r="J205" s="72"/>
      <c r="K205" s="84">
        <v>4</v>
      </c>
      <c r="L205" s="71" t="s">
        <v>342</v>
      </c>
      <c r="M205" s="71" t="s">
        <v>343</v>
      </c>
      <c r="N205" s="68" t="s">
        <v>80</v>
      </c>
      <c r="O205" s="68"/>
      <c r="P205" s="68" t="s">
        <v>1705</v>
      </c>
      <c r="Q205" s="68" t="s">
        <v>1195</v>
      </c>
      <c r="R205" s="68" t="s">
        <v>1697</v>
      </c>
    </row>
    <row r="206" spans="1:18" ht="41.4" x14ac:dyDescent="0.3">
      <c r="A206" s="70" t="s">
        <v>1619</v>
      </c>
      <c r="B206" s="68" t="s">
        <v>1598</v>
      </c>
      <c r="C206" s="69" t="s">
        <v>1681</v>
      </c>
      <c r="D206" s="68" t="s">
        <v>79</v>
      </c>
      <c r="E206" s="68">
        <v>50</v>
      </c>
      <c r="F206" s="68" t="s">
        <v>136</v>
      </c>
      <c r="G206" s="68" t="s">
        <v>1830</v>
      </c>
      <c r="H206" s="68" t="s">
        <v>137</v>
      </c>
      <c r="I206" s="72">
        <v>14</v>
      </c>
      <c r="J206" s="72"/>
      <c r="K206" s="84">
        <v>2</v>
      </c>
      <c r="L206" s="71" t="s">
        <v>342</v>
      </c>
      <c r="M206" s="71" t="s">
        <v>343</v>
      </c>
      <c r="N206" s="68" t="s">
        <v>80</v>
      </c>
      <c r="O206" s="68"/>
      <c r="P206" s="68" t="s">
        <v>1719</v>
      </c>
      <c r="Q206" s="68" t="s">
        <v>1207</v>
      </c>
      <c r="R206" s="68" t="s">
        <v>1697</v>
      </c>
    </row>
    <row r="207" spans="1:18" ht="41.4" x14ac:dyDescent="0.3">
      <c r="A207" s="70" t="s">
        <v>1619</v>
      </c>
      <c r="B207" s="68" t="s">
        <v>1598</v>
      </c>
      <c r="C207" s="69" t="s">
        <v>1681</v>
      </c>
      <c r="D207" s="68" t="s">
        <v>79</v>
      </c>
      <c r="E207" s="68">
        <v>60</v>
      </c>
      <c r="F207" s="68" t="s">
        <v>135</v>
      </c>
      <c r="G207" s="68" t="s">
        <v>1831</v>
      </c>
      <c r="H207" s="68" t="s">
        <v>124</v>
      </c>
      <c r="I207" s="72">
        <v>25</v>
      </c>
      <c r="J207" s="72"/>
      <c r="K207" s="84">
        <v>0.75</v>
      </c>
      <c r="L207" s="71" t="s">
        <v>342</v>
      </c>
      <c r="M207" s="71" t="s">
        <v>343</v>
      </c>
      <c r="N207" s="68" t="s">
        <v>80</v>
      </c>
      <c r="O207" s="68"/>
      <c r="P207" s="68" t="s">
        <v>1713</v>
      </c>
      <c r="Q207" s="68" t="s">
        <v>1201</v>
      </c>
      <c r="R207" s="68" t="s">
        <v>1697</v>
      </c>
    </row>
    <row r="208" spans="1:18" ht="41.4" x14ac:dyDescent="0.3">
      <c r="A208" s="70" t="s">
        <v>1619</v>
      </c>
      <c r="B208" s="68" t="s">
        <v>1600</v>
      </c>
      <c r="C208" s="69" t="s">
        <v>1684</v>
      </c>
      <c r="D208" s="68" t="s">
        <v>79</v>
      </c>
      <c r="E208" s="68">
        <v>10</v>
      </c>
      <c r="F208" s="68" t="s">
        <v>121</v>
      </c>
      <c r="G208" s="68" t="s">
        <v>1832</v>
      </c>
      <c r="H208" s="68" t="s">
        <v>122</v>
      </c>
      <c r="I208" s="72">
        <v>10</v>
      </c>
      <c r="J208" s="72"/>
      <c r="K208" s="84">
        <v>0.5</v>
      </c>
      <c r="L208" s="71" t="s">
        <v>342</v>
      </c>
      <c r="M208" s="71" t="s">
        <v>1182</v>
      </c>
      <c r="N208" s="68" t="s">
        <v>80</v>
      </c>
      <c r="O208" s="68"/>
      <c r="P208" s="68" t="s">
        <v>1183</v>
      </c>
      <c r="Q208" s="68" t="s">
        <v>1184</v>
      </c>
      <c r="R208" s="68" t="s">
        <v>1697</v>
      </c>
    </row>
    <row r="209" spans="1:18" ht="41.4" x14ac:dyDescent="0.3">
      <c r="A209" s="70" t="s">
        <v>1619</v>
      </c>
      <c r="B209" s="68" t="s">
        <v>1600</v>
      </c>
      <c r="C209" s="69" t="s">
        <v>1684</v>
      </c>
      <c r="D209" s="68" t="s">
        <v>79</v>
      </c>
      <c r="E209" s="68">
        <v>20</v>
      </c>
      <c r="F209" s="68" t="s">
        <v>123</v>
      </c>
      <c r="G209" s="68" t="s">
        <v>1833</v>
      </c>
      <c r="H209" s="68" t="s">
        <v>124</v>
      </c>
      <c r="I209" s="72">
        <v>11</v>
      </c>
      <c r="J209" s="72"/>
      <c r="K209" s="84">
        <v>0.75</v>
      </c>
      <c r="L209" s="71" t="s">
        <v>342</v>
      </c>
      <c r="M209" s="71" t="s">
        <v>1182</v>
      </c>
      <c r="N209" s="68" t="s">
        <v>80</v>
      </c>
      <c r="O209" s="68"/>
      <c r="P209" s="68" t="s">
        <v>1699</v>
      </c>
      <c r="Q209" s="68" t="s">
        <v>1187</v>
      </c>
      <c r="R209" s="68" t="s">
        <v>1697</v>
      </c>
    </row>
    <row r="210" spans="1:18" ht="41.4" x14ac:dyDescent="0.3">
      <c r="A210" s="70" t="s">
        <v>1619</v>
      </c>
      <c r="B210" s="68" t="s">
        <v>1600</v>
      </c>
      <c r="C210" s="69" t="s">
        <v>1684</v>
      </c>
      <c r="D210" s="68" t="s">
        <v>79</v>
      </c>
      <c r="E210" s="68">
        <v>30</v>
      </c>
      <c r="F210" s="68" t="s">
        <v>125</v>
      </c>
      <c r="G210" s="68" t="s">
        <v>1834</v>
      </c>
      <c r="H210" s="68" t="s">
        <v>127</v>
      </c>
      <c r="I210" s="72">
        <v>12</v>
      </c>
      <c r="J210" s="72"/>
      <c r="K210" s="84">
        <v>0.3</v>
      </c>
      <c r="L210" s="71" t="s">
        <v>342</v>
      </c>
      <c r="M210" s="71" t="s">
        <v>1188</v>
      </c>
      <c r="N210" s="68" t="s">
        <v>80</v>
      </c>
      <c r="O210" s="68"/>
      <c r="P210" s="68" t="s">
        <v>1189</v>
      </c>
      <c r="Q210" s="68" t="s">
        <v>1701</v>
      </c>
      <c r="R210" s="68" t="s">
        <v>1697</v>
      </c>
    </row>
    <row r="211" spans="1:18" ht="41.4" x14ac:dyDescent="0.3">
      <c r="A211" s="70" t="s">
        <v>1619</v>
      </c>
      <c r="B211" s="68" t="s">
        <v>1600</v>
      </c>
      <c r="C211" s="69" t="s">
        <v>1684</v>
      </c>
      <c r="D211" s="68" t="s">
        <v>79</v>
      </c>
      <c r="E211" s="68">
        <v>40</v>
      </c>
      <c r="F211" s="68" t="s">
        <v>136</v>
      </c>
      <c r="G211" s="68" t="s">
        <v>1835</v>
      </c>
      <c r="H211" s="68" t="s">
        <v>137</v>
      </c>
      <c r="I211" s="72">
        <v>14</v>
      </c>
      <c r="J211" s="72"/>
      <c r="K211" s="84">
        <v>1.5</v>
      </c>
      <c r="L211" s="71" t="s">
        <v>342</v>
      </c>
      <c r="M211" s="71" t="s">
        <v>343</v>
      </c>
      <c r="N211" s="68" t="s">
        <v>80</v>
      </c>
      <c r="O211" s="68"/>
      <c r="P211" s="68" t="s">
        <v>1719</v>
      </c>
      <c r="Q211" s="68" t="s">
        <v>1207</v>
      </c>
      <c r="R211" s="68" t="s">
        <v>1697</v>
      </c>
    </row>
    <row r="212" spans="1:18" ht="41.4" x14ac:dyDescent="0.3">
      <c r="A212" s="70" t="s">
        <v>1619</v>
      </c>
      <c r="B212" s="68" t="s">
        <v>1600</v>
      </c>
      <c r="C212" s="69" t="s">
        <v>1684</v>
      </c>
      <c r="D212" s="68" t="s">
        <v>79</v>
      </c>
      <c r="E212" s="68">
        <v>50</v>
      </c>
      <c r="F212" s="68" t="s">
        <v>128</v>
      </c>
      <c r="G212" s="68" t="s">
        <v>1836</v>
      </c>
      <c r="H212" s="68" t="s">
        <v>127</v>
      </c>
      <c r="I212" s="72">
        <v>12</v>
      </c>
      <c r="J212" s="72"/>
      <c r="K212" s="84">
        <v>0.35</v>
      </c>
      <c r="L212" s="71" t="s">
        <v>342</v>
      </c>
      <c r="M212" s="71" t="s">
        <v>1191</v>
      </c>
      <c r="N212" s="68" t="s">
        <v>80</v>
      </c>
      <c r="O212" s="68"/>
      <c r="P212" s="68" t="s">
        <v>1192</v>
      </c>
      <c r="Q212" s="68" t="s">
        <v>1703</v>
      </c>
      <c r="R212" s="68" t="s">
        <v>1697</v>
      </c>
    </row>
    <row r="213" spans="1:18" ht="41.4" x14ac:dyDescent="0.3">
      <c r="A213" s="70" t="s">
        <v>1619</v>
      </c>
      <c r="B213" s="68" t="s">
        <v>1600</v>
      </c>
      <c r="C213" s="69" t="s">
        <v>1684</v>
      </c>
      <c r="D213" s="68" t="s">
        <v>79</v>
      </c>
      <c r="E213" s="68">
        <v>60</v>
      </c>
      <c r="F213" s="68" t="s">
        <v>135</v>
      </c>
      <c r="G213" s="68" t="s">
        <v>1837</v>
      </c>
      <c r="H213" s="68" t="s">
        <v>124</v>
      </c>
      <c r="I213" s="72">
        <v>25</v>
      </c>
      <c r="J213" s="72"/>
      <c r="K213" s="84">
        <v>0.75</v>
      </c>
      <c r="L213" s="71" t="s">
        <v>342</v>
      </c>
      <c r="M213" s="71" t="s">
        <v>343</v>
      </c>
      <c r="N213" s="68" t="s">
        <v>80</v>
      </c>
      <c r="O213" s="68"/>
      <c r="P213" s="68" t="s">
        <v>1713</v>
      </c>
      <c r="Q213" s="68" t="s">
        <v>1201</v>
      </c>
      <c r="R213" s="68" t="s">
        <v>1697</v>
      </c>
    </row>
    <row r="214" spans="1:18" ht="41.4" x14ac:dyDescent="0.3">
      <c r="A214" s="70" t="s">
        <v>1619</v>
      </c>
      <c r="B214" s="68" t="s">
        <v>1603</v>
      </c>
      <c r="C214" s="69" t="s">
        <v>1687</v>
      </c>
      <c r="D214" s="68" t="s">
        <v>79</v>
      </c>
      <c r="E214" s="68">
        <v>10</v>
      </c>
      <c r="F214" s="68" t="s">
        <v>121</v>
      </c>
      <c r="G214" s="68" t="s">
        <v>1838</v>
      </c>
      <c r="H214" s="68" t="s">
        <v>122</v>
      </c>
      <c r="I214" s="72">
        <v>10</v>
      </c>
      <c r="J214" s="72"/>
      <c r="K214" s="84">
        <v>0.5</v>
      </c>
      <c r="L214" s="71" t="s">
        <v>342</v>
      </c>
      <c r="M214" s="71" t="s">
        <v>1182</v>
      </c>
      <c r="N214" s="68" t="s">
        <v>80</v>
      </c>
      <c r="O214" s="68"/>
      <c r="P214" s="68" t="s">
        <v>1183</v>
      </c>
      <c r="Q214" s="68" t="s">
        <v>1184</v>
      </c>
      <c r="R214" s="68" t="s">
        <v>1697</v>
      </c>
    </row>
    <row r="215" spans="1:18" ht="41.4" x14ac:dyDescent="0.3">
      <c r="A215" s="70" t="s">
        <v>1619</v>
      </c>
      <c r="B215" s="68" t="s">
        <v>1603</v>
      </c>
      <c r="C215" s="69" t="s">
        <v>1687</v>
      </c>
      <c r="D215" s="68" t="s">
        <v>79</v>
      </c>
      <c r="E215" s="68">
        <v>20</v>
      </c>
      <c r="F215" s="68" t="s">
        <v>123</v>
      </c>
      <c r="G215" s="68" t="s">
        <v>1839</v>
      </c>
      <c r="H215" s="68" t="s">
        <v>124</v>
      </c>
      <c r="I215" s="72">
        <v>11</v>
      </c>
      <c r="J215" s="72"/>
      <c r="K215" s="84">
        <v>0.75</v>
      </c>
      <c r="L215" s="71" t="s">
        <v>342</v>
      </c>
      <c r="M215" s="71" t="s">
        <v>1182</v>
      </c>
      <c r="N215" s="68" t="s">
        <v>80</v>
      </c>
      <c r="O215" s="68"/>
      <c r="P215" s="68" t="s">
        <v>1699</v>
      </c>
      <c r="Q215" s="68" t="s">
        <v>1187</v>
      </c>
      <c r="R215" s="68" t="s">
        <v>1697</v>
      </c>
    </row>
    <row r="216" spans="1:18" ht="41.4" x14ac:dyDescent="0.3">
      <c r="A216" s="70" t="s">
        <v>1619</v>
      </c>
      <c r="B216" s="68" t="s">
        <v>1603</v>
      </c>
      <c r="C216" s="69" t="s">
        <v>1687</v>
      </c>
      <c r="D216" s="68" t="s">
        <v>79</v>
      </c>
      <c r="E216" s="68">
        <v>30</v>
      </c>
      <c r="F216" s="68" t="s">
        <v>125</v>
      </c>
      <c r="G216" s="68" t="s">
        <v>1840</v>
      </c>
      <c r="H216" s="68" t="s">
        <v>127</v>
      </c>
      <c r="I216" s="72">
        <v>12</v>
      </c>
      <c r="J216" s="72"/>
      <c r="K216" s="84">
        <v>0.3</v>
      </c>
      <c r="L216" s="71" t="s">
        <v>342</v>
      </c>
      <c r="M216" s="71" t="s">
        <v>1188</v>
      </c>
      <c r="N216" s="68" t="s">
        <v>80</v>
      </c>
      <c r="O216" s="68"/>
      <c r="P216" s="68" t="s">
        <v>1189</v>
      </c>
      <c r="Q216" s="68" t="s">
        <v>1701</v>
      </c>
      <c r="R216" s="68" t="s">
        <v>1697</v>
      </c>
    </row>
    <row r="217" spans="1:18" ht="41.4" x14ac:dyDescent="0.3">
      <c r="A217" s="70" t="s">
        <v>1619</v>
      </c>
      <c r="B217" s="68" t="s">
        <v>1603</v>
      </c>
      <c r="C217" s="69" t="s">
        <v>1687</v>
      </c>
      <c r="D217" s="68" t="s">
        <v>79</v>
      </c>
      <c r="E217" s="68">
        <v>40</v>
      </c>
      <c r="F217" s="68" t="s">
        <v>136</v>
      </c>
      <c r="G217" s="68" t="s">
        <v>1841</v>
      </c>
      <c r="H217" s="68" t="s">
        <v>137</v>
      </c>
      <c r="I217" s="72">
        <v>14</v>
      </c>
      <c r="J217" s="72"/>
      <c r="K217" s="84">
        <v>2</v>
      </c>
      <c r="L217" s="71" t="s">
        <v>342</v>
      </c>
      <c r="M217" s="71" t="s">
        <v>343</v>
      </c>
      <c r="N217" s="68" t="s">
        <v>80</v>
      </c>
      <c r="O217" s="68"/>
      <c r="P217" s="68" t="s">
        <v>1719</v>
      </c>
      <c r="Q217" s="68" t="s">
        <v>1207</v>
      </c>
      <c r="R217" s="68" t="s">
        <v>1697</v>
      </c>
    </row>
    <row r="218" spans="1:18" ht="41.4" x14ac:dyDescent="0.3">
      <c r="A218" s="70" t="s">
        <v>1619</v>
      </c>
      <c r="B218" s="68" t="s">
        <v>1603</v>
      </c>
      <c r="C218" s="69" t="s">
        <v>1687</v>
      </c>
      <c r="D218" s="68" t="s">
        <v>79</v>
      </c>
      <c r="E218" s="68">
        <v>50</v>
      </c>
      <c r="F218" s="68" t="s">
        <v>128</v>
      </c>
      <c r="G218" s="68" t="s">
        <v>1842</v>
      </c>
      <c r="H218" s="68" t="s">
        <v>127</v>
      </c>
      <c r="I218" s="72">
        <v>12</v>
      </c>
      <c r="J218" s="72"/>
      <c r="K218" s="84">
        <v>0.35</v>
      </c>
      <c r="L218" s="71" t="s">
        <v>342</v>
      </c>
      <c r="M218" s="71" t="s">
        <v>1191</v>
      </c>
      <c r="N218" s="68" t="s">
        <v>80</v>
      </c>
      <c r="O218" s="68"/>
      <c r="P218" s="68" t="s">
        <v>1192</v>
      </c>
      <c r="Q218" s="68" t="s">
        <v>1703</v>
      </c>
      <c r="R218" s="68" t="s">
        <v>1697</v>
      </c>
    </row>
    <row r="219" spans="1:18" ht="41.4" x14ac:dyDescent="0.3">
      <c r="A219" s="70" t="s">
        <v>1619</v>
      </c>
      <c r="B219" s="68" t="s">
        <v>1603</v>
      </c>
      <c r="C219" s="69" t="s">
        <v>1687</v>
      </c>
      <c r="D219" s="68" t="s">
        <v>79</v>
      </c>
      <c r="E219" s="68">
        <v>60</v>
      </c>
      <c r="F219" s="68" t="s">
        <v>135</v>
      </c>
      <c r="G219" s="68" t="s">
        <v>1843</v>
      </c>
      <c r="H219" s="68" t="s">
        <v>124</v>
      </c>
      <c r="I219" s="72">
        <v>25</v>
      </c>
      <c r="J219" s="72"/>
      <c r="K219" s="84">
        <v>0.75</v>
      </c>
      <c r="L219" s="71" t="s">
        <v>342</v>
      </c>
      <c r="M219" s="71" t="s">
        <v>343</v>
      </c>
      <c r="N219" s="68" t="s">
        <v>80</v>
      </c>
      <c r="O219" s="68"/>
      <c r="P219" s="68" t="s">
        <v>1713</v>
      </c>
      <c r="Q219" s="68" t="s">
        <v>1201</v>
      </c>
      <c r="R219" s="68" t="s">
        <v>1697</v>
      </c>
    </row>
    <row r="220" spans="1:18" ht="41.4" x14ac:dyDescent="0.3">
      <c r="A220" s="70" t="s">
        <v>1619</v>
      </c>
      <c r="B220" s="68" t="s">
        <v>1607</v>
      </c>
      <c r="C220" s="69" t="s">
        <v>1605</v>
      </c>
      <c r="D220" s="68" t="s">
        <v>79</v>
      </c>
      <c r="E220" s="68">
        <v>10</v>
      </c>
      <c r="F220" s="68" t="s">
        <v>121</v>
      </c>
      <c r="G220" s="68" t="s">
        <v>1844</v>
      </c>
      <c r="H220" s="68" t="s">
        <v>122</v>
      </c>
      <c r="I220" s="72">
        <v>10</v>
      </c>
      <c r="J220" s="72"/>
      <c r="K220" s="84">
        <v>0.5</v>
      </c>
      <c r="L220" s="71" t="s">
        <v>342</v>
      </c>
      <c r="M220" s="71" t="s">
        <v>1182</v>
      </c>
      <c r="N220" s="68" t="s">
        <v>80</v>
      </c>
      <c r="O220" s="68"/>
      <c r="P220" s="68" t="s">
        <v>1183</v>
      </c>
      <c r="Q220" s="68" t="s">
        <v>1184</v>
      </c>
      <c r="R220" s="68" t="s">
        <v>1697</v>
      </c>
    </row>
    <row r="221" spans="1:18" ht="41.4" x14ac:dyDescent="0.3">
      <c r="A221" s="70" t="s">
        <v>1619</v>
      </c>
      <c r="B221" s="68" t="s">
        <v>1607</v>
      </c>
      <c r="C221" s="69" t="s">
        <v>1605</v>
      </c>
      <c r="D221" s="68" t="s">
        <v>79</v>
      </c>
      <c r="E221" s="68">
        <v>20</v>
      </c>
      <c r="F221" s="68" t="s">
        <v>123</v>
      </c>
      <c r="G221" s="68" t="s">
        <v>1845</v>
      </c>
      <c r="H221" s="68" t="s">
        <v>124</v>
      </c>
      <c r="I221" s="72">
        <v>11</v>
      </c>
      <c r="J221" s="72"/>
      <c r="K221" s="84">
        <v>0.75</v>
      </c>
      <c r="L221" s="71" t="s">
        <v>342</v>
      </c>
      <c r="M221" s="71" t="s">
        <v>1182</v>
      </c>
      <c r="N221" s="68" t="s">
        <v>80</v>
      </c>
      <c r="O221" s="68"/>
      <c r="P221" s="68" t="s">
        <v>1699</v>
      </c>
      <c r="Q221" s="68" t="s">
        <v>1187</v>
      </c>
      <c r="R221" s="68" t="s">
        <v>1697</v>
      </c>
    </row>
    <row r="222" spans="1:18" ht="41.4" x14ac:dyDescent="0.3">
      <c r="A222" s="70" t="s">
        <v>1619</v>
      </c>
      <c r="B222" s="68" t="s">
        <v>1607</v>
      </c>
      <c r="C222" s="69" t="s">
        <v>1605</v>
      </c>
      <c r="D222" s="68" t="s">
        <v>79</v>
      </c>
      <c r="E222" s="68">
        <v>30</v>
      </c>
      <c r="F222" s="68" t="s">
        <v>125</v>
      </c>
      <c r="G222" s="68" t="s">
        <v>1846</v>
      </c>
      <c r="H222" s="68" t="s">
        <v>127</v>
      </c>
      <c r="I222" s="72">
        <v>12</v>
      </c>
      <c r="J222" s="72"/>
      <c r="K222" s="84">
        <v>0.3</v>
      </c>
      <c r="L222" s="71" t="s">
        <v>342</v>
      </c>
      <c r="M222" s="71" t="s">
        <v>1188</v>
      </c>
      <c r="N222" s="68" t="s">
        <v>80</v>
      </c>
      <c r="O222" s="68"/>
      <c r="P222" s="68" t="s">
        <v>1189</v>
      </c>
      <c r="Q222" s="68" t="s">
        <v>1701</v>
      </c>
      <c r="R222" s="68" t="s">
        <v>1697</v>
      </c>
    </row>
    <row r="223" spans="1:18" ht="41.4" x14ac:dyDescent="0.3">
      <c r="A223" s="70" t="s">
        <v>1619</v>
      </c>
      <c r="B223" s="68" t="s">
        <v>1607</v>
      </c>
      <c r="C223" s="69" t="s">
        <v>1605</v>
      </c>
      <c r="D223" s="68" t="s">
        <v>79</v>
      </c>
      <c r="E223" s="68">
        <v>40</v>
      </c>
      <c r="F223" s="68" t="s">
        <v>136</v>
      </c>
      <c r="G223" s="68" t="s">
        <v>1847</v>
      </c>
      <c r="H223" s="68" t="s">
        <v>137</v>
      </c>
      <c r="I223" s="72">
        <v>14</v>
      </c>
      <c r="J223" s="72"/>
      <c r="K223" s="84">
        <v>1.5</v>
      </c>
      <c r="L223" s="71" t="s">
        <v>342</v>
      </c>
      <c r="M223" s="71" t="s">
        <v>343</v>
      </c>
      <c r="N223" s="68" t="s">
        <v>80</v>
      </c>
      <c r="O223" s="68"/>
      <c r="P223" s="68" t="s">
        <v>1719</v>
      </c>
      <c r="Q223" s="68" t="s">
        <v>1207</v>
      </c>
      <c r="R223" s="68" t="s">
        <v>1697</v>
      </c>
    </row>
    <row r="224" spans="1:18" ht="41.4" x14ac:dyDescent="0.3">
      <c r="A224" s="70" t="s">
        <v>1619</v>
      </c>
      <c r="B224" s="68" t="s">
        <v>1607</v>
      </c>
      <c r="C224" s="69" t="s">
        <v>1605</v>
      </c>
      <c r="D224" s="68" t="s">
        <v>79</v>
      </c>
      <c r="E224" s="68">
        <v>50</v>
      </c>
      <c r="F224" s="68" t="s">
        <v>128</v>
      </c>
      <c r="G224" s="68" t="s">
        <v>1848</v>
      </c>
      <c r="H224" s="68" t="s">
        <v>127</v>
      </c>
      <c r="I224" s="72">
        <v>12</v>
      </c>
      <c r="J224" s="72"/>
      <c r="K224" s="84">
        <v>0.35</v>
      </c>
      <c r="L224" s="71" t="s">
        <v>342</v>
      </c>
      <c r="M224" s="71" t="s">
        <v>1191</v>
      </c>
      <c r="N224" s="68" t="s">
        <v>80</v>
      </c>
      <c r="O224" s="68"/>
      <c r="P224" s="68" t="s">
        <v>1192</v>
      </c>
      <c r="Q224" s="68" t="s">
        <v>1703</v>
      </c>
      <c r="R224" s="68" t="s">
        <v>1697</v>
      </c>
    </row>
    <row r="225" spans="1:18" ht="41.4" x14ac:dyDescent="0.3">
      <c r="A225" s="70" t="s">
        <v>1619</v>
      </c>
      <c r="B225" s="68" t="s">
        <v>1607</v>
      </c>
      <c r="C225" s="69" t="s">
        <v>1605</v>
      </c>
      <c r="D225" s="68" t="s">
        <v>79</v>
      </c>
      <c r="E225" s="68">
        <v>60</v>
      </c>
      <c r="F225" s="68" t="s">
        <v>135</v>
      </c>
      <c r="G225" s="68" t="s">
        <v>1849</v>
      </c>
      <c r="H225" s="68" t="s">
        <v>124</v>
      </c>
      <c r="I225" s="72">
        <v>25</v>
      </c>
      <c r="J225" s="72"/>
      <c r="K225" s="84">
        <v>0.75</v>
      </c>
      <c r="L225" s="71" t="s">
        <v>342</v>
      </c>
      <c r="M225" s="71" t="s">
        <v>343</v>
      </c>
      <c r="N225" s="68" t="s">
        <v>80</v>
      </c>
      <c r="O225" s="68"/>
      <c r="P225" s="68" t="s">
        <v>1713</v>
      </c>
      <c r="Q225" s="68" t="s">
        <v>1201</v>
      </c>
      <c r="R225" s="68" t="s">
        <v>1697</v>
      </c>
    </row>
    <row r="226" spans="1:18" ht="41.4" x14ac:dyDescent="0.3">
      <c r="A226" s="70" t="s">
        <v>1619</v>
      </c>
      <c r="B226" s="68" t="s">
        <v>1610</v>
      </c>
      <c r="C226" s="69" t="s">
        <v>1608</v>
      </c>
      <c r="D226" s="68" t="s">
        <v>79</v>
      </c>
      <c r="E226" s="68">
        <v>10</v>
      </c>
      <c r="F226" s="68" t="s">
        <v>121</v>
      </c>
      <c r="G226" s="68" t="s">
        <v>1850</v>
      </c>
      <c r="H226" s="68" t="s">
        <v>122</v>
      </c>
      <c r="I226" s="72">
        <v>10</v>
      </c>
      <c r="J226" s="72"/>
      <c r="K226" s="84">
        <v>0.5</v>
      </c>
      <c r="L226" s="71" t="s">
        <v>342</v>
      </c>
      <c r="M226" s="71" t="s">
        <v>1182</v>
      </c>
      <c r="N226" s="68" t="s">
        <v>80</v>
      </c>
      <c r="O226" s="68"/>
      <c r="P226" s="68" t="s">
        <v>1183</v>
      </c>
      <c r="Q226" s="68" t="s">
        <v>1184</v>
      </c>
      <c r="R226" s="68" t="s">
        <v>1697</v>
      </c>
    </row>
    <row r="227" spans="1:18" ht="41.4" x14ac:dyDescent="0.3">
      <c r="A227" s="70" t="s">
        <v>1619</v>
      </c>
      <c r="B227" s="68" t="s">
        <v>1610</v>
      </c>
      <c r="C227" s="69" t="s">
        <v>1608</v>
      </c>
      <c r="D227" s="68" t="s">
        <v>79</v>
      </c>
      <c r="E227" s="68">
        <v>20</v>
      </c>
      <c r="F227" s="68" t="s">
        <v>123</v>
      </c>
      <c r="G227" s="68" t="s">
        <v>1851</v>
      </c>
      <c r="H227" s="68" t="s">
        <v>124</v>
      </c>
      <c r="I227" s="72">
        <v>11</v>
      </c>
      <c r="J227" s="72"/>
      <c r="K227" s="84">
        <v>0.75</v>
      </c>
      <c r="L227" s="71" t="s">
        <v>342</v>
      </c>
      <c r="M227" s="71" t="s">
        <v>1182</v>
      </c>
      <c r="N227" s="68" t="s">
        <v>80</v>
      </c>
      <c r="O227" s="68"/>
      <c r="P227" s="68" t="s">
        <v>1699</v>
      </c>
      <c r="Q227" s="68" t="s">
        <v>1187</v>
      </c>
      <c r="R227" s="68" t="s">
        <v>1697</v>
      </c>
    </row>
    <row r="228" spans="1:18" ht="41.4" x14ac:dyDescent="0.3">
      <c r="A228" s="70" t="s">
        <v>1619</v>
      </c>
      <c r="B228" s="68" t="s">
        <v>1610</v>
      </c>
      <c r="C228" s="69" t="s">
        <v>1608</v>
      </c>
      <c r="D228" s="68" t="s">
        <v>79</v>
      </c>
      <c r="E228" s="68">
        <v>30</v>
      </c>
      <c r="F228" s="68" t="s">
        <v>125</v>
      </c>
      <c r="G228" s="68" t="s">
        <v>1852</v>
      </c>
      <c r="H228" s="68" t="s">
        <v>127</v>
      </c>
      <c r="I228" s="72">
        <v>12</v>
      </c>
      <c r="J228" s="72"/>
      <c r="K228" s="84">
        <v>0.3</v>
      </c>
      <c r="L228" s="71" t="s">
        <v>342</v>
      </c>
      <c r="M228" s="71" t="s">
        <v>1188</v>
      </c>
      <c r="N228" s="68" t="s">
        <v>80</v>
      </c>
      <c r="O228" s="68"/>
      <c r="P228" s="68" t="s">
        <v>1189</v>
      </c>
      <c r="Q228" s="68" t="s">
        <v>1701</v>
      </c>
      <c r="R228" s="68" t="s">
        <v>1697</v>
      </c>
    </row>
    <row r="229" spans="1:18" ht="41.4" x14ac:dyDescent="0.3">
      <c r="A229" s="70" t="s">
        <v>1619</v>
      </c>
      <c r="B229" s="68" t="s">
        <v>1610</v>
      </c>
      <c r="C229" s="69" t="s">
        <v>1608</v>
      </c>
      <c r="D229" s="68" t="s">
        <v>79</v>
      </c>
      <c r="E229" s="68">
        <v>40</v>
      </c>
      <c r="F229" s="68" t="s">
        <v>136</v>
      </c>
      <c r="G229" s="68" t="s">
        <v>1853</v>
      </c>
      <c r="H229" s="68" t="s">
        <v>137</v>
      </c>
      <c r="I229" s="72">
        <v>14</v>
      </c>
      <c r="J229" s="72"/>
      <c r="K229" s="84">
        <v>2</v>
      </c>
      <c r="L229" s="71" t="s">
        <v>342</v>
      </c>
      <c r="M229" s="71" t="s">
        <v>343</v>
      </c>
      <c r="N229" s="68" t="s">
        <v>80</v>
      </c>
      <c r="O229" s="68"/>
      <c r="P229" s="68" t="s">
        <v>1719</v>
      </c>
      <c r="Q229" s="68" t="s">
        <v>1207</v>
      </c>
      <c r="R229" s="68" t="s">
        <v>1697</v>
      </c>
    </row>
    <row r="230" spans="1:18" ht="41.4" x14ac:dyDescent="0.3">
      <c r="A230" s="70" t="s">
        <v>1619</v>
      </c>
      <c r="B230" s="68" t="s">
        <v>1610</v>
      </c>
      <c r="C230" s="69" t="s">
        <v>1608</v>
      </c>
      <c r="D230" s="68" t="s">
        <v>79</v>
      </c>
      <c r="E230" s="68">
        <v>50</v>
      </c>
      <c r="F230" s="68" t="s">
        <v>128</v>
      </c>
      <c r="G230" s="68" t="s">
        <v>1854</v>
      </c>
      <c r="H230" s="68" t="s">
        <v>127</v>
      </c>
      <c r="I230" s="72">
        <v>12</v>
      </c>
      <c r="J230" s="72"/>
      <c r="K230" s="84">
        <v>0.35</v>
      </c>
      <c r="L230" s="71" t="s">
        <v>342</v>
      </c>
      <c r="M230" s="71" t="s">
        <v>1191</v>
      </c>
      <c r="N230" s="68" t="s">
        <v>80</v>
      </c>
      <c r="O230" s="68"/>
      <c r="P230" s="68" t="s">
        <v>1192</v>
      </c>
      <c r="Q230" s="68" t="s">
        <v>1703</v>
      </c>
      <c r="R230" s="68" t="s">
        <v>1697</v>
      </c>
    </row>
    <row r="231" spans="1:18" ht="41.4" x14ac:dyDescent="0.3">
      <c r="A231" s="70" t="s">
        <v>1619</v>
      </c>
      <c r="B231" s="68" t="s">
        <v>1610</v>
      </c>
      <c r="C231" s="69" t="s">
        <v>1608</v>
      </c>
      <c r="D231" s="68" t="s">
        <v>79</v>
      </c>
      <c r="E231" s="68">
        <v>60</v>
      </c>
      <c r="F231" s="68" t="s">
        <v>135</v>
      </c>
      <c r="G231" s="68" t="s">
        <v>1855</v>
      </c>
      <c r="H231" s="68" t="s">
        <v>124</v>
      </c>
      <c r="I231" s="72">
        <v>32</v>
      </c>
      <c r="J231" s="72"/>
      <c r="K231" s="84">
        <v>0.75</v>
      </c>
      <c r="L231" s="71" t="s">
        <v>342</v>
      </c>
      <c r="M231" s="71" t="s">
        <v>343</v>
      </c>
      <c r="N231" s="68" t="s">
        <v>80</v>
      </c>
      <c r="O231" s="68"/>
      <c r="P231" s="68" t="s">
        <v>1713</v>
      </c>
      <c r="Q231" s="68" t="s">
        <v>1201</v>
      </c>
      <c r="R231" s="68" t="s">
        <v>1697</v>
      </c>
    </row>
    <row r="232" spans="1:18" ht="41.4" x14ac:dyDescent="0.3">
      <c r="A232" s="70" t="s">
        <v>1619</v>
      </c>
      <c r="B232" s="68" t="s">
        <v>1612</v>
      </c>
      <c r="C232" s="69" t="s">
        <v>484</v>
      </c>
      <c r="D232" s="68" t="s">
        <v>79</v>
      </c>
      <c r="E232" s="68">
        <v>10</v>
      </c>
      <c r="F232" s="68" t="s">
        <v>121</v>
      </c>
      <c r="G232" s="68" t="s">
        <v>1856</v>
      </c>
      <c r="H232" s="68" t="s">
        <v>122</v>
      </c>
      <c r="I232" s="72">
        <v>10</v>
      </c>
      <c r="J232" s="72"/>
      <c r="K232" s="84">
        <v>0.5</v>
      </c>
      <c r="L232" s="71" t="s">
        <v>342</v>
      </c>
      <c r="M232" s="71" t="s">
        <v>1182</v>
      </c>
      <c r="N232" s="68" t="s">
        <v>80</v>
      </c>
      <c r="O232" s="68"/>
      <c r="P232" s="68" t="s">
        <v>1183</v>
      </c>
      <c r="Q232" s="68" t="s">
        <v>1184</v>
      </c>
      <c r="R232" s="68" t="s">
        <v>1697</v>
      </c>
    </row>
    <row r="233" spans="1:18" ht="41.4" x14ac:dyDescent="0.3">
      <c r="A233" s="70" t="s">
        <v>1619</v>
      </c>
      <c r="B233" s="68" t="s">
        <v>1612</v>
      </c>
      <c r="C233" s="69" t="s">
        <v>484</v>
      </c>
      <c r="D233" s="68" t="s">
        <v>79</v>
      </c>
      <c r="E233" s="68">
        <v>20</v>
      </c>
      <c r="F233" s="68" t="s">
        <v>123</v>
      </c>
      <c r="G233" s="68" t="s">
        <v>1857</v>
      </c>
      <c r="H233" s="68" t="s">
        <v>124</v>
      </c>
      <c r="I233" s="72">
        <v>11</v>
      </c>
      <c r="J233" s="72"/>
      <c r="K233" s="84">
        <v>0.75</v>
      </c>
      <c r="L233" s="71" t="s">
        <v>342</v>
      </c>
      <c r="M233" s="71" t="s">
        <v>1182</v>
      </c>
      <c r="N233" s="68" t="s">
        <v>80</v>
      </c>
      <c r="O233" s="68"/>
      <c r="P233" s="68" t="s">
        <v>1699</v>
      </c>
      <c r="Q233" s="68" t="s">
        <v>1187</v>
      </c>
      <c r="R233" s="68" t="s">
        <v>1697</v>
      </c>
    </row>
    <row r="234" spans="1:18" ht="41.4" x14ac:dyDescent="0.3">
      <c r="A234" s="70" t="s">
        <v>1619</v>
      </c>
      <c r="B234" s="68" t="s">
        <v>1612</v>
      </c>
      <c r="C234" s="69" t="s">
        <v>484</v>
      </c>
      <c r="D234" s="68" t="s">
        <v>79</v>
      </c>
      <c r="E234" s="68">
        <v>30</v>
      </c>
      <c r="F234" s="68" t="s">
        <v>125</v>
      </c>
      <c r="G234" s="68" t="s">
        <v>1858</v>
      </c>
      <c r="H234" s="68" t="s">
        <v>127</v>
      </c>
      <c r="I234" s="72">
        <v>12</v>
      </c>
      <c r="J234" s="72"/>
      <c r="K234" s="84">
        <v>0.3</v>
      </c>
      <c r="L234" s="71" t="s">
        <v>342</v>
      </c>
      <c r="M234" s="71" t="s">
        <v>1188</v>
      </c>
      <c r="N234" s="68" t="s">
        <v>80</v>
      </c>
      <c r="O234" s="68"/>
      <c r="P234" s="68" t="s">
        <v>1189</v>
      </c>
      <c r="Q234" s="68" t="s">
        <v>1701</v>
      </c>
      <c r="R234" s="68" t="s">
        <v>1697</v>
      </c>
    </row>
    <row r="235" spans="1:18" ht="41.4" x14ac:dyDescent="0.3">
      <c r="A235" s="70" t="s">
        <v>1619</v>
      </c>
      <c r="B235" s="68" t="s">
        <v>1612</v>
      </c>
      <c r="C235" s="69" t="s">
        <v>484</v>
      </c>
      <c r="D235" s="68" t="s">
        <v>79</v>
      </c>
      <c r="E235" s="68">
        <v>40</v>
      </c>
      <c r="F235" s="68" t="s">
        <v>136</v>
      </c>
      <c r="G235" s="68" t="s">
        <v>1859</v>
      </c>
      <c r="H235" s="68" t="s">
        <v>137</v>
      </c>
      <c r="I235" s="72">
        <v>14</v>
      </c>
      <c r="J235" s="72"/>
      <c r="K235" s="84">
        <v>1.5</v>
      </c>
      <c r="L235" s="71" t="s">
        <v>342</v>
      </c>
      <c r="M235" s="71" t="s">
        <v>343</v>
      </c>
      <c r="N235" s="68" t="s">
        <v>80</v>
      </c>
      <c r="O235" s="68"/>
      <c r="P235" s="68" t="s">
        <v>1719</v>
      </c>
      <c r="Q235" s="68" t="s">
        <v>1207</v>
      </c>
      <c r="R235" s="68" t="s">
        <v>1697</v>
      </c>
    </row>
    <row r="236" spans="1:18" ht="41.4" x14ac:dyDescent="0.3">
      <c r="A236" s="70" t="s">
        <v>1619</v>
      </c>
      <c r="B236" s="68" t="s">
        <v>1612</v>
      </c>
      <c r="C236" s="69" t="s">
        <v>484</v>
      </c>
      <c r="D236" s="68" t="s">
        <v>79</v>
      </c>
      <c r="E236" s="68">
        <v>50</v>
      </c>
      <c r="F236" s="68" t="s">
        <v>135</v>
      </c>
      <c r="G236" s="68" t="s">
        <v>1860</v>
      </c>
      <c r="H236" s="68" t="s">
        <v>124</v>
      </c>
      <c r="I236" s="72">
        <v>32</v>
      </c>
      <c r="J236" s="72"/>
      <c r="K236" s="84">
        <v>0.75</v>
      </c>
      <c r="L236" s="71" t="s">
        <v>342</v>
      </c>
      <c r="M236" s="71" t="s">
        <v>343</v>
      </c>
      <c r="N236" s="68" t="s">
        <v>80</v>
      </c>
      <c r="O236" s="68"/>
      <c r="P236" s="68" t="s">
        <v>1713</v>
      </c>
      <c r="Q236" s="68" t="s">
        <v>1201</v>
      </c>
      <c r="R236" s="68" t="s">
        <v>1697</v>
      </c>
    </row>
    <row r="237" spans="1:18" ht="41.4" x14ac:dyDescent="0.3">
      <c r="A237" s="70" t="s">
        <v>1619</v>
      </c>
      <c r="B237" s="68" t="s">
        <v>1616</v>
      </c>
      <c r="C237" s="69" t="s">
        <v>1613</v>
      </c>
      <c r="D237" s="68" t="s">
        <v>79</v>
      </c>
      <c r="E237" s="68">
        <v>10</v>
      </c>
      <c r="F237" s="68" t="s">
        <v>121</v>
      </c>
      <c r="G237" s="68" t="s">
        <v>1861</v>
      </c>
      <c r="H237" s="68" t="s">
        <v>122</v>
      </c>
      <c r="I237" s="72">
        <v>10</v>
      </c>
      <c r="J237" s="72"/>
      <c r="K237" s="84">
        <v>0.5</v>
      </c>
      <c r="L237" s="71" t="s">
        <v>342</v>
      </c>
      <c r="M237" s="71" t="s">
        <v>1182</v>
      </c>
      <c r="N237" s="68" t="s">
        <v>80</v>
      </c>
      <c r="O237" s="68"/>
      <c r="P237" s="68" t="s">
        <v>1183</v>
      </c>
      <c r="Q237" s="68" t="s">
        <v>1184</v>
      </c>
      <c r="R237" s="68" t="s">
        <v>1697</v>
      </c>
    </row>
    <row r="238" spans="1:18" ht="41.4" x14ac:dyDescent="0.3">
      <c r="A238" s="70" t="s">
        <v>1619</v>
      </c>
      <c r="B238" s="68" t="s">
        <v>1616</v>
      </c>
      <c r="C238" s="69" t="s">
        <v>1613</v>
      </c>
      <c r="D238" s="68" t="s">
        <v>79</v>
      </c>
      <c r="E238" s="68">
        <v>20</v>
      </c>
      <c r="F238" s="68" t="s">
        <v>123</v>
      </c>
      <c r="G238" s="68" t="s">
        <v>1862</v>
      </c>
      <c r="H238" s="68" t="s">
        <v>124</v>
      </c>
      <c r="I238" s="72">
        <v>11</v>
      </c>
      <c r="J238" s="72"/>
      <c r="K238" s="84">
        <v>0.75</v>
      </c>
      <c r="L238" s="71" t="s">
        <v>342</v>
      </c>
      <c r="M238" s="71" t="s">
        <v>1182</v>
      </c>
      <c r="N238" s="68" t="s">
        <v>80</v>
      </c>
      <c r="O238" s="68"/>
      <c r="P238" s="68" t="s">
        <v>1699</v>
      </c>
      <c r="Q238" s="68" t="s">
        <v>1187</v>
      </c>
      <c r="R238" s="68" t="s">
        <v>1697</v>
      </c>
    </row>
    <row r="239" spans="1:18" ht="41.4" x14ac:dyDescent="0.3">
      <c r="A239" s="70" t="s">
        <v>1619</v>
      </c>
      <c r="B239" s="68" t="s">
        <v>1616</v>
      </c>
      <c r="C239" s="69" t="s">
        <v>1613</v>
      </c>
      <c r="D239" s="68" t="s">
        <v>79</v>
      </c>
      <c r="E239" s="68">
        <v>30</v>
      </c>
      <c r="F239" s="68" t="s">
        <v>135</v>
      </c>
      <c r="G239" s="68" t="s">
        <v>1863</v>
      </c>
      <c r="H239" s="68" t="s">
        <v>124</v>
      </c>
      <c r="I239" s="72">
        <v>25</v>
      </c>
      <c r="J239" s="72"/>
      <c r="K239" s="84">
        <v>0.75</v>
      </c>
      <c r="L239" s="71" t="s">
        <v>342</v>
      </c>
      <c r="M239" s="71" t="s">
        <v>343</v>
      </c>
      <c r="N239" s="68" t="s">
        <v>80</v>
      </c>
      <c r="O239" s="68"/>
      <c r="P239" s="68" t="s">
        <v>1713</v>
      </c>
      <c r="Q239" s="68" t="s">
        <v>1201</v>
      </c>
      <c r="R239" s="68" t="s">
        <v>1697</v>
      </c>
    </row>
    <row r="240" spans="1:18" x14ac:dyDescent="0.3">
      <c r="A240" s="9"/>
      <c r="B240" s="9"/>
      <c r="C240" s="10"/>
      <c r="D240" s="9"/>
      <c r="E240" s="9"/>
      <c r="F240" s="9"/>
      <c r="G240" s="9"/>
      <c r="H240" s="9"/>
      <c r="I240" s="9"/>
      <c r="J240" s="9"/>
      <c r="K240" s="89"/>
      <c r="L240" s="9"/>
      <c r="M240" s="9"/>
      <c r="N240" s="9"/>
      <c r="O240" s="9"/>
      <c r="P240" s="9"/>
      <c r="Q240" s="9"/>
      <c r="R240" s="9"/>
    </row>
    <row r="241" spans="1:18" x14ac:dyDescent="0.3">
      <c r="A241" s="9"/>
      <c r="B241" s="9"/>
      <c r="C241" s="10"/>
      <c r="D241" s="9"/>
      <c r="E241" s="9"/>
      <c r="F241" s="9"/>
      <c r="G241" s="9"/>
      <c r="H241" s="9"/>
      <c r="I241" s="9"/>
      <c r="J241" s="9"/>
      <c r="K241" s="89"/>
      <c r="L241" s="9"/>
      <c r="M241" s="9"/>
      <c r="N241" s="9"/>
      <c r="O241" s="9"/>
      <c r="P241" s="9"/>
      <c r="Q241" s="9"/>
      <c r="R241" s="9"/>
    </row>
    <row r="242" spans="1:18" x14ac:dyDescent="0.3">
      <c r="A242" s="9"/>
      <c r="B242" s="9"/>
      <c r="C242" s="10"/>
      <c r="D242" s="9"/>
      <c r="E242" s="9"/>
      <c r="F242" s="9"/>
      <c r="G242" s="9"/>
      <c r="H242" s="9"/>
      <c r="I242" s="9"/>
      <c r="J242" s="9"/>
      <c r="K242" s="89"/>
      <c r="L242" s="9"/>
      <c r="M242" s="9"/>
      <c r="N242" s="9"/>
      <c r="O242" s="9"/>
      <c r="P242" s="9"/>
      <c r="Q242" s="9"/>
      <c r="R242" s="9"/>
    </row>
    <row r="243" spans="1:18" x14ac:dyDescent="0.3">
      <c r="A243" s="9"/>
      <c r="B243" s="9"/>
      <c r="C243" s="10"/>
      <c r="D243" s="9"/>
      <c r="E243" s="9"/>
      <c r="F243" s="9"/>
      <c r="G243" s="9"/>
      <c r="H243" s="9"/>
      <c r="I243" s="9"/>
      <c r="J243" s="9"/>
      <c r="K243" s="89"/>
      <c r="L243" s="9"/>
      <c r="M243" s="9"/>
      <c r="N243" s="9"/>
      <c r="O243" s="9"/>
      <c r="P243" s="9"/>
      <c r="Q243" s="9"/>
      <c r="R243" s="9"/>
    </row>
    <row r="244" spans="1:18" x14ac:dyDescent="0.3">
      <c r="A244" s="9"/>
      <c r="B244" s="9"/>
      <c r="C244" s="10"/>
      <c r="D244" s="9"/>
      <c r="E244" s="9"/>
      <c r="F244" s="9"/>
      <c r="G244" s="9"/>
      <c r="H244" s="9"/>
      <c r="I244" s="9"/>
      <c r="J244" s="9"/>
      <c r="K244" s="89"/>
      <c r="L244" s="9"/>
      <c r="M244" s="9"/>
      <c r="N244" s="9"/>
      <c r="O244" s="9"/>
      <c r="P244" s="9"/>
      <c r="Q244" s="9"/>
      <c r="R244" s="9"/>
    </row>
    <row r="245" spans="1:18" x14ac:dyDescent="0.3">
      <c r="A245" s="9"/>
      <c r="B245" s="9"/>
      <c r="C245" s="10"/>
      <c r="D245" s="9"/>
      <c r="E245" s="9"/>
      <c r="F245" s="9"/>
      <c r="G245" s="9"/>
      <c r="H245" s="9"/>
      <c r="I245" s="9"/>
      <c r="J245" s="9"/>
      <c r="K245" s="89"/>
      <c r="L245" s="9"/>
      <c r="M245" s="9"/>
      <c r="N245" s="9"/>
      <c r="O245" s="9"/>
      <c r="P245" s="9"/>
      <c r="Q245" s="9"/>
      <c r="R245" s="9"/>
    </row>
    <row r="246" spans="1:18" x14ac:dyDescent="0.3">
      <c r="A246" s="9"/>
      <c r="B246" s="9"/>
      <c r="C246" s="10"/>
      <c r="D246" s="9"/>
      <c r="E246" s="9"/>
      <c r="F246" s="9"/>
      <c r="G246" s="9"/>
      <c r="H246" s="9"/>
      <c r="I246" s="9"/>
      <c r="J246" s="9"/>
      <c r="K246" s="89"/>
      <c r="L246" s="9"/>
      <c r="M246" s="9"/>
      <c r="N246" s="9"/>
      <c r="O246" s="9"/>
      <c r="P246" s="9"/>
      <c r="Q246" s="9"/>
      <c r="R246" s="9"/>
    </row>
    <row r="247" spans="1:18" x14ac:dyDescent="0.3">
      <c r="A247" s="9"/>
      <c r="B247" s="9"/>
      <c r="C247" s="10"/>
      <c r="D247" s="9"/>
      <c r="E247" s="9"/>
      <c r="F247" s="9"/>
      <c r="G247" s="9"/>
      <c r="H247" s="9"/>
      <c r="I247" s="9"/>
      <c r="J247" s="9"/>
      <c r="K247" s="89"/>
      <c r="L247" s="9"/>
      <c r="M247" s="9"/>
      <c r="N247" s="9"/>
      <c r="O247" s="9"/>
      <c r="P247" s="9"/>
      <c r="Q247" s="9"/>
      <c r="R247" s="9"/>
    </row>
    <row r="248" spans="1:18" x14ac:dyDescent="0.3">
      <c r="A248" s="9"/>
      <c r="B248" s="9"/>
      <c r="C248" s="10"/>
      <c r="D248" s="9"/>
      <c r="E248" s="9"/>
      <c r="F248" s="9"/>
      <c r="G248" s="9"/>
      <c r="H248" s="9"/>
      <c r="I248" s="9"/>
      <c r="J248" s="9"/>
      <c r="K248" s="89"/>
      <c r="L248" s="9"/>
      <c r="M248" s="9"/>
      <c r="N248" s="9"/>
      <c r="O248" s="9"/>
      <c r="P248" s="9"/>
      <c r="Q248" s="9"/>
      <c r="R248" s="9"/>
    </row>
    <row r="249" spans="1:18" x14ac:dyDescent="0.3">
      <c r="A249" s="9"/>
      <c r="B249" s="9"/>
      <c r="C249" s="10"/>
      <c r="D249" s="9"/>
      <c r="E249" s="9"/>
      <c r="F249" s="9"/>
      <c r="G249" s="9"/>
      <c r="H249" s="9"/>
      <c r="I249" s="9"/>
      <c r="J249" s="9"/>
      <c r="K249" s="89"/>
      <c r="L249" s="9"/>
      <c r="M249" s="9"/>
      <c r="N249" s="9"/>
      <c r="O249" s="9"/>
      <c r="P249" s="9"/>
      <c r="Q249" s="9"/>
      <c r="R249" s="9"/>
    </row>
    <row r="250" spans="1:18" x14ac:dyDescent="0.3">
      <c r="A250" s="9"/>
      <c r="B250" s="9"/>
      <c r="C250" s="10"/>
      <c r="D250" s="9"/>
      <c r="E250" s="9"/>
      <c r="F250" s="9"/>
      <c r="G250" s="9"/>
      <c r="H250" s="9"/>
      <c r="I250" s="9"/>
      <c r="J250" s="9"/>
      <c r="K250" s="89"/>
      <c r="L250" s="9"/>
      <c r="M250" s="9"/>
      <c r="N250" s="9"/>
      <c r="O250" s="9"/>
      <c r="P250" s="9"/>
      <c r="Q250" s="9"/>
      <c r="R250" s="9"/>
    </row>
    <row r="251" spans="1:18" x14ac:dyDescent="0.3">
      <c r="A251" s="9"/>
      <c r="B251" s="9"/>
      <c r="C251" s="10"/>
      <c r="D251" s="9"/>
      <c r="E251" s="9"/>
      <c r="F251" s="9"/>
      <c r="G251" s="9"/>
      <c r="H251" s="9"/>
      <c r="I251" s="9"/>
      <c r="J251" s="9"/>
      <c r="K251" s="89"/>
      <c r="L251" s="9"/>
      <c r="M251" s="9"/>
      <c r="N251" s="9"/>
      <c r="O251" s="9"/>
      <c r="P251" s="9"/>
      <c r="Q251" s="9"/>
      <c r="R251" s="9"/>
    </row>
    <row r="252" spans="1:18" x14ac:dyDescent="0.3">
      <c r="A252" s="9"/>
      <c r="B252" s="9"/>
      <c r="C252" s="10"/>
      <c r="D252" s="9"/>
      <c r="E252" s="9"/>
      <c r="F252" s="9"/>
      <c r="G252" s="9"/>
      <c r="H252" s="9"/>
      <c r="I252" s="9"/>
      <c r="J252" s="9"/>
      <c r="K252" s="89"/>
      <c r="L252" s="9"/>
      <c r="M252" s="9"/>
      <c r="N252" s="9"/>
      <c r="O252" s="9"/>
      <c r="P252" s="9"/>
      <c r="Q252" s="9"/>
      <c r="R252" s="9"/>
    </row>
    <row r="253" spans="1:18" x14ac:dyDescent="0.3">
      <c r="A253" s="9"/>
      <c r="B253" s="9"/>
      <c r="C253" s="10"/>
      <c r="D253" s="9"/>
      <c r="E253" s="9"/>
      <c r="F253" s="9"/>
      <c r="G253" s="9"/>
      <c r="H253" s="9"/>
      <c r="I253" s="9"/>
      <c r="J253" s="9"/>
      <c r="K253" s="89"/>
      <c r="L253" s="9"/>
      <c r="M253" s="9"/>
      <c r="N253" s="9"/>
      <c r="O253" s="9"/>
      <c r="P253" s="9"/>
      <c r="Q253" s="9"/>
      <c r="R253" s="9"/>
    </row>
    <row r="254" spans="1:18" x14ac:dyDescent="0.3">
      <c r="A254" s="9"/>
      <c r="B254" s="9"/>
      <c r="C254" s="10"/>
      <c r="D254" s="9"/>
      <c r="E254" s="9"/>
      <c r="F254" s="9"/>
      <c r="G254" s="9"/>
      <c r="H254" s="9"/>
      <c r="I254" s="9"/>
      <c r="J254" s="9"/>
      <c r="K254" s="89"/>
      <c r="L254" s="9"/>
      <c r="M254" s="9"/>
      <c r="N254" s="9"/>
      <c r="O254" s="9"/>
      <c r="P254" s="9"/>
      <c r="Q254" s="9"/>
      <c r="R254" s="9"/>
    </row>
    <row r="255" spans="1:18" x14ac:dyDescent="0.3">
      <c r="A255" s="9"/>
      <c r="B255" s="9"/>
      <c r="C255" s="10"/>
      <c r="D255" s="9"/>
      <c r="E255" s="9"/>
      <c r="F255" s="9"/>
      <c r="G255" s="9"/>
      <c r="H255" s="9"/>
      <c r="I255" s="9"/>
      <c r="J255" s="9"/>
      <c r="K255" s="89"/>
      <c r="L255" s="9"/>
      <c r="M255" s="9"/>
      <c r="N255" s="9"/>
      <c r="O255" s="9"/>
      <c r="P255" s="9"/>
      <c r="Q255" s="9"/>
      <c r="R255" s="9"/>
    </row>
    <row r="256" spans="1:18" x14ac:dyDescent="0.3">
      <c r="A256" s="9"/>
      <c r="B256" s="9"/>
      <c r="C256" s="10"/>
      <c r="D256" s="9"/>
      <c r="E256" s="9"/>
      <c r="F256" s="9"/>
      <c r="G256" s="9"/>
      <c r="H256" s="9"/>
      <c r="I256" s="9"/>
      <c r="J256" s="9"/>
      <c r="K256" s="89"/>
      <c r="L256" s="9"/>
      <c r="M256" s="9"/>
      <c r="N256" s="9"/>
      <c r="O256" s="9"/>
      <c r="P256" s="9"/>
      <c r="Q256" s="9"/>
      <c r="R256" s="9"/>
    </row>
    <row r="257" spans="1:18" x14ac:dyDescent="0.3">
      <c r="A257" s="9"/>
      <c r="B257" s="9"/>
      <c r="C257" s="10"/>
      <c r="D257" s="9"/>
      <c r="E257" s="9"/>
      <c r="F257" s="9"/>
      <c r="G257" s="9"/>
      <c r="H257" s="9"/>
      <c r="I257" s="9"/>
      <c r="J257" s="9"/>
      <c r="K257" s="89"/>
      <c r="L257" s="9"/>
      <c r="M257" s="9"/>
      <c r="N257" s="9"/>
      <c r="O257" s="9"/>
      <c r="P257" s="9"/>
      <c r="Q257" s="9"/>
      <c r="R257" s="9"/>
    </row>
    <row r="258" spans="1:18" x14ac:dyDescent="0.3">
      <c r="A258" s="9"/>
      <c r="B258" s="9"/>
      <c r="C258" s="10"/>
      <c r="D258" s="9"/>
      <c r="E258" s="9"/>
      <c r="F258" s="9"/>
      <c r="G258" s="9"/>
      <c r="H258" s="9"/>
      <c r="I258" s="9"/>
      <c r="J258" s="9"/>
      <c r="K258" s="89"/>
      <c r="L258" s="9"/>
      <c r="M258" s="9"/>
      <c r="N258" s="9"/>
      <c r="O258" s="9"/>
      <c r="P258" s="9"/>
      <c r="Q258" s="9"/>
      <c r="R258" s="9"/>
    </row>
    <row r="259" spans="1:18" x14ac:dyDescent="0.3">
      <c r="A259" s="9"/>
      <c r="B259" s="9"/>
      <c r="C259" s="10"/>
      <c r="D259" s="9"/>
      <c r="E259" s="9"/>
      <c r="F259" s="9"/>
      <c r="G259" s="9"/>
      <c r="H259" s="9"/>
      <c r="I259" s="9"/>
      <c r="J259" s="9"/>
      <c r="K259" s="89"/>
      <c r="L259" s="9"/>
      <c r="M259" s="9"/>
      <c r="N259" s="9"/>
      <c r="O259" s="9"/>
      <c r="P259" s="9"/>
      <c r="Q259" s="9"/>
      <c r="R259" s="9"/>
    </row>
    <row r="260" spans="1:18" x14ac:dyDescent="0.3">
      <c r="A260" s="9"/>
      <c r="B260" s="9"/>
      <c r="C260" s="10"/>
      <c r="D260" s="9"/>
      <c r="E260" s="9"/>
      <c r="F260" s="9"/>
      <c r="G260" s="9"/>
      <c r="H260" s="9"/>
      <c r="I260" s="9"/>
      <c r="J260" s="9"/>
      <c r="K260" s="89"/>
      <c r="L260" s="9"/>
      <c r="M260" s="9"/>
      <c r="N260" s="9"/>
      <c r="O260" s="9"/>
      <c r="P260" s="9"/>
      <c r="Q260" s="9"/>
      <c r="R260" s="9"/>
    </row>
    <row r="261" spans="1:18" x14ac:dyDescent="0.3">
      <c r="A261" s="9"/>
      <c r="B261" s="9"/>
      <c r="C261" s="10"/>
      <c r="D261" s="9"/>
      <c r="E261" s="9"/>
      <c r="F261" s="9"/>
      <c r="G261" s="9"/>
      <c r="H261" s="9"/>
      <c r="I261" s="9"/>
      <c r="J261" s="9"/>
      <c r="K261" s="89"/>
      <c r="L261" s="9"/>
      <c r="M261" s="9"/>
      <c r="N261" s="9"/>
      <c r="O261" s="9"/>
      <c r="P261" s="9"/>
      <c r="Q261" s="9"/>
      <c r="R261" s="9"/>
    </row>
    <row r="262" spans="1:18" x14ac:dyDescent="0.3">
      <c r="A262" s="9"/>
      <c r="B262" s="9"/>
      <c r="C262" s="10"/>
      <c r="D262" s="9"/>
      <c r="E262" s="9"/>
      <c r="F262" s="9"/>
      <c r="G262" s="9"/>
      <c r="H262" s="9"/>
      <c r="I262" s="9"/>
      <c r="J262" s="9"/>
      <c r="K262" s="89"/>
      <c r="L262" s="9"/>
      <c r="M262" s="9"/>
      <c r="N262" s="9"/>
      <c r="O262" s="9"/>
      <c r="P262" s="9"/>
      <c r="Q262" s="9"/>
      <c r="R262" s="9"/>
    </row>
    <row r="263" spans="1:18" x14ac:dyDescent="0.3">
      <c r="A263" s="9"/>
      <c r="B263" s="9"/>
      <c r="C263" s="10"/>
      <c r="D263" s="9"/>
      <c r="E263" s="9"/>
      <c r="F263" s="9"/>
      <c r="G263" s="9"/>
      <c r="H263" s="9"/>
      <c r="I263" s="9"/>
      <c r="J263" s="9"/>
      <c r="K263" s="89"/>
      <c r="L263" s="9"/>
      <c r="M263" s="9"/>
      <c r="N263" s="9"/>
      <c r="O263" s="9"/>
      <c r="P263" s="9"/>
      <c r="Q263" s="9"/>
      <c r="R263" s="9"/>
    </row>
    <row r="264" spans="1:18" x14ac:dyDescent="0.3">
      <c r="A264" s="9"/>
      <c r="B264" s="9"/>
      <c r="C264" s="10"/>
      <c r="D264" s="9"/>
      <c r="E264" s="9"/>
      <c r="F264" s="9"/>
      <c r="G264" s="9"/>
      <c r="H264" s="9"/>
      <c r="I264" s="9"/>
      <c r="J264" s="9"/>
      <c r="K264" s="89"/>
      <c r="L264" s="9"/>
      <c r="M264" s="9"/>
      <c r="N264" s="9"/>
      <c r="O264" s="9"/>
      <c r="P264" s="9"/>
      <c r="Q264" s="9"/>
      <c r="R264" s="9"/>
    </row>
    <row r="265" spans="1:18" x14ac:dyDescent="0.3">
      <c r="A265" s="9"/>
      <c r="B265" s="9"/>
      <c r="C265" s="10"/>
      <c r="D265" s="9"/>
      <c r="E265" s="9"/>
      <c r="F265" s="9"/>
      <c r="G265" s="9"/>
      <c r="H265" s="9"/>
      <c r="I265" s="9"/>
      <c r="J265" s="9"/>
      <c r="K265" s="89"/>
      <c r="L265" s="9"/>
      <c r="M265" s="9"/>
      <c r="N265" s="9"/>
      <c r="O265" s="9"/>
      <c r="P265" s="9"/>
      <c r="Q265" s="9"/>
      <c r="R265" s="9"/>
    </row>
    <row r="266" spans="1:18" x14ac:dyDescent="0.3">
      <c r="A266" s="9"/>
      <c r="B266" s="9"/>
      <c r="C266" s="10"/>
      <c r="D266" s="9"/>
      <c r="E266" s="9"/>
      <c r="F266" s="9"/>
      <c r="G266" s="9"/>
      <c r="H266" s="9"/>
      <c r="I266" s="9"/>
      <c r="J266" s="9"/>
      <c r="K266" s="89"/>
      <c r="L266" s="9"/>
      <c r="M266" s="9"/>
      <c r="N266" s="9"/>
      <c r="O266" s="9"/>
      <c r="P266" s="9"/>
      <c r="Q266" s="9"/>
      <c r="R266" s="9"/>
    </row>
    <row r="267" spans="1:18" x14ac:dyDescent="0.3">
      <c r="A267" s="9"/>
      <c r="B267" s="9"/>
      <c r="C267" s="10"/>
      <c r="D267" s="9"/>
      <c r="E267" s="9"/>
      <c r="F267" s="9"/>
      <c r="G267" s="9"/>
      <c r="H267" s="9"/>
      <c r="I267" s="9"/>
      <c r="J267" s="9"/>
      <c r="K267" s="89"/>
      <c r="L267" s="9"/>
      <c r="M267" s="9"/>
      <c r="N267" s="9"/>
      <c r="O267" s="9"/>
      <c r="P267" s="9"/>
      <c r="Q267" s="9"/>
      <c r="R267" s="9"/>
    </row>
    <row r="268" spans="1:18" x14ac:dyDescent="0.3">
      <c r="A268" s="9"/>
      <c r="B268" s="9"/>
      <c r="C268" s="10"/>
      <c r="D268" s="9"/>
      <c r="E268" s="9"/>
      <c r="F268" s="9"/>
      <c r="G268" s="9"/>
      <c r="H268" s="9"/>
      <c r="I268" s="9"/>
      <c r="J268" s="9"/>
      <c r="K268" s="89"/>
      <c r="L268" s="9"/>
      <c r="M268" s="9"/>
      <c r="N268" s="9"/>
      <c r="O268" s="9"/>
      <c r="P268" s="9"/>
      <c r="Q268" s="9"/>
      <c r="R268" s="9"/>
    </row>
    <row r="269" spans="1:18" x14ac:dyDescent="0.3">
      <c r="A269" s="9"/>
      <c r="B269" s="9"/>
      <c r="C269" s="10"/>
      <c r="D269" s="9"/>
      <c r="E269" s="9"/>
      <c r="F269" s="9"/>
      <c r="G269" s="9"/>
      <c r="H269" s="9"/>
      <c r="I269" s="9"/>
      <c r="J269" s="9"/>
      <c r="K269" s="89"/>
      <c r="L269" s="9"/>
      <c r="M269" s="9"/>
      <c r="N269" s="9"/>
      <c r="O269" s="9"/>
      <c r="P269" s="9"/>
      <c r="Q269" s="9"/>
      <c r="R269" s="9"/>
    </row>
    <row r="270" spans="1:18" x14ac:dyDescent="0.3">
      <c r="A270" s="9"/>
      <c r="B270" s="9"/>
      <c r="C270" s="10"/>
      <c r="D270" s="9"/>
      <c r="E270" s="9"/>
      <c r="F270" s="9"/>
      <c r="G270" s="9"/>
      <c r="H270" s="9"/>
      <c r="I270" s="9"/>
      <c r="J270" s="9"/>
      <c r="K270" s="89"/>
      <c r="L270" s="9"/>
      <c r="M270" s="9"/>
      <c r="N270" s="9"/>
      <c r="O270" s="9"/>
      <c r="P270" s="9"/>
      <c r="Q270" s="9"/>
      <c r="R270" s="9"/>
    </row>
    <row r="271" spans="1:18" x14ac:dyDescent="0.3">
      <c r="A271" s="9"/>
      <c r="B271" s="9"/>
      <c r="C271" s="10"/>
      <c r="D271" s="9"/>
      <c r="E271" s="9"/>
      <c r="F271" s="9"/>
      <c r="G271" s="9"/>
      <c r="H271" s="9"/>
      <c r="I271" s="9"/>
      <c r="J271" s="9"/>
      <c r="K271" s="89"/>
      <c r="L271" s="9"/>
      <c r="M271" s="9"/>
      <c r="N271" s="9"/>
      <c r="O271" s="9"/>
      <c r="P271" s="9"/>
      <c r="Q271" s="9"/>
      <c r="R271" s="9"/>
    </row>
    <row r="272" spans="1:18" x14ac:dyDescent="0.3">
      <c r="A272" s="9"/>
      <c r="B272" s="9"/>
      <c r="C272" s="10"/>
      <c r="D272" s="9"/>
      <c r="E272" s="9"/>
      <c r="F272" s="9"/>
      <c r="G272" s="9"/>
      <c r="H272" s="9"/>
      <c r="I272" s="9"/>
      <c r="J272" s="9"/>
      <c r="K272" s="89"/>
      <c r="L272" s="9"/>
      <c r="M272" s="9"/>
      <c r="N272" s="9"/>
      <c r="O272" s="9"/>
      <c r="P272" s="9"/>
      <c r="Q272" s="9"/>
      <c r="R272" s="9"/>
    </row>
    <row r="273" spans="1:18" x14ac:dyDescent="0.3">
      <c r="A273" s="9"/>
      <c r="B273" s="9"/>
      <c r="C273" s="10"/>
      <c r="D273" s="9"/>
      <c r="E273" s="9"/>
      <c r="F273" s="9"/>
      <c r="G273" s="9"/>
      <c r="H273" s="9"/>
      <c r="I273" s="9"/>
      <c r="J273" s="9"/>
      <c r="K273" s="89"/>
      <c r="L273" s="9"/>
      <c r="M273" s="9"/>
      <c r="N273" s="9"/>
      <c r="O273" s="9"/>
      <c r="P273" s="9"/>
      <c r="Q273" s="9"/>
      <c r="R273" s="9"/>
    </row>
    <row r="274" spans="1:18" x14ac:dyDescent="0.3">
      <c r="A274" s="9"/>
      <c r="B274" s="9"/>
      <c r="C274" s="10"/>
      <c r="D274" s="9"/>
      <c r="E274" s="9"/>
      <c r="F274" s="9"/>
      <c r="G274" s="9"/>
      <c r="H274" s="9"/>
      <c r="I274" s="9"/>
      <c r="J274" s="9"/>
      <c r="K274" s="89"/>
      <c r="L274" s="9"/>
      <c r="M274" s="9"/>
      <c r="N274" s="9"/>
      <c r="O274" s="9"/>
      <c r="P274" s="9"/>
      <c r="Q274" s="9"/>
      <c r="R274" s="9"/>
    </row>
    <row r="275" spans="1:18" x14ac:dyDescent="0.3">
      <c r="A275" s="9"/>
      <c r="B275" s="9"/>
      <c r="C275" s="10"/>
      <c r="D275" s="9"/>
      <c r="E275" s="9"/>
      <c r="F275" s="9"/>
      <c r="G275" s="9"/>
      <c r="H275" s="9"/>
      <c r="I275" s="9"/>
      <c r="J275" s="9"/>
      <c r="K275" s="89"/>
      <c r="L275" s="9"/>
      <c r="M275" s="9"/>
      <c r="N275" s="9"/>
      <c r="O275" s="9"/>
      <c r="P275" s="9"/>
      <c r="Q275" s="9"/>
      <c r="R275" s="9"/>
    </row>
    <row r="276" spans="1:18" x14ac:dyDescent="0.3">
      <c r="A276" s="9"/>
      <c r="B276" s="9"/>
      <c r="C276" s="10"/>
      <c r="D276" s="9"/>
      <c r="E276" s="9"/>
      <c r="F276" s="9"/>
      <c r="G276" s="9"/>
      <c r="H276" s="9"/>
      <c r="I276" s="9"/>
      <c r="J276" s="9"/>
      <c r="K276" s="89"/>
      <c r="L276" s="9"/>
      <c r="M276" s="9"/>
      <c r="N276" s="9"/>
      <c r="O276" s="9"/>
      <c r="P276" s="9"/>
      <c r="Q276" s="9"/>
      <c r="R276" s="9"/>
    </row>
    <row r="277" spans="1:18" x14ac:dyDescent="0.3">
      <c r="A277" s="9"/>
      <c r="B277" s="9"/>
      <c r="C277" s="10"/>
      <c r="D277" s="9"/>
      <c r="E277" s="9"/>
      <c r="F277" s="9"/>
      <c r="G277" s="9"/>
      <c r="H277" s="9"/>
      <c r="I277" s="9"/>
      <c r="J277" s="9"/>
      <c r="K277" s="89"/>
      <c r="L277" s="9"/>
      <c r="M277" s="9"/>
      <c r="N277" s="9"/>
      <c r="O277" s="9"/>
      <c r="P277" s="9"/>
      <c r="Q277" s="9"/>
      <c r="R277" s="9"/>
    </row>
    <row r="278" spans="1:18" x14ac:dyDescent="0.3">
      <c r="A278" s="9"/>
      <c r="B278" s="9"/>
      <c r="C278" s="10"/>
      <c r="D278" s="9"/>
      <c r="E278" s="9"/>
      <c r="F278" s="9"/>
      <c r="G278" s="9"/>
      <c r="H278" s="9"/>
      <c r="I278" s="9"/>
      <c r="J278" s="9"/>
      <c r="K278" s="89"/>
      <c r="L278" s="9"/>
      <c r="M278" s="9"/>
      <c r="N278" s="9"/>
      <c r="O278" s="9"/>
      <c r="P278" s="9"/>
      <c r="Q278" s="9"/>
      <c r="R278" s="9"/>
    </row>
    <row r="279" spans="1:18" x14ac:dyDescent="0.3">
      <c r="A279" s="9"/>
      <c r="B279" s="9"/>
      <c r="C279" s="10"/>
      <c r="D279" s="9"/>
      <c r="E279" s="9"/>
      <c r="F279" s="9"/>
      <c r="G279" s="9"/>
      <c r="H279" s="9"/>
      <c r="I279" s="9"/>
      <c r="J279" s="9"/>
      <c r="K279" s="89"/>
      <c r="L279" s="9"/>
      <c r="M279" s="9"/>
      <c r="N279" s="9"/>
      <c r="O279" s="9"/>
      <c r="P279" s="9"/>
      <c r="Q279" s="9"/>
      <c r="R279" s="9"/>
    </row>
    <row r="280" spans="1:18" x14ac:dyDescent="0.3">
      <c r="A280" s="9"/>
      <c r="B280" s="9"/>
      <c r="C280" s="10"/>
      <c r="D280" s="9"/>
      <c r="E280" s="9"/>
      <c r="F280" s="9"/>
      <c r="G280" s="9"/>
      <c r="H280" s="9"/>
      <c r="I280" s="9"/>
      <c r="J280" s="9"/>
      <c r="K280" s="89"/>
      <c r="L280" s="9"/>
      <c r="M280" s="9"/>
      <c r="N280" s="9"/>
      <c r="O280" s="9"/>
      <c r="P280" s="9"/>
      <c r="Q280" s="9"/>
      <c r="R280" s="9"/>
    </row>
    <row r="281" spans="1:18" x14ac:dyDescent="0.3">
      <c r="A281" s="9"/>
      <c r="B281" s="9"/>
      <c r="C281" s="10"/>
      <c r="D281" s="9"/>
      <c r="E281" s="9"/>
      <c r="F281" s="9"/>
      <c r="G281" s="9"/>
      <c r="H281" s="9"/>
      <c r="I281" s="9"/>
      <c r="J281" s="9"/>
      <c r="K281" s="89"/>
      <c r="L281" s="9"/>
      <c r="M281" s="9"/>
      <c r="N281" s="9"/>
      <c r="O281" s="9"/>
      <c r="P281" s="9"/>
      <c r="Q281" s="9"/>
      <c r="R281" s="9"/>
    </row>
    <row r="282" spans="1:18" x14ac:dyDescent="0.3">
      <c r="A282" s="9"/>
      <c r="B282" s="9"/>
      <c r="C282" s="10"/>
      <c r="D282" s="9"/>
      <c r="E282" s="9"/>
      <c r="F282" s="9"/>
      <c r="G282" s="9"/>
      <c r="H282" s="9"/>
      <c r="I282" s="9"/>
      <c r="J282" s="9"/>
      <c r="K282" s="89"/>
      <c r="L282" s="9"/>
      <c r="M282" s="9"/>
      <c r="N282" s="9"/>
      <c r="O282" s="9"/>
      <c r="P282" s="9"/>
      <c r="Q282" s="9"/>
      <c r="R282" s="9"/>
    </row>
    <row r="283" spans="1:18" x14ac:dyDescent="0.3">
      <c r="A283" s="9"/>
      <c r="B283" s="9"/>
      <c r="C283" s="10"/>
      <c r="D283" s="9"/>
      <c r="E283" s="9"/>
      <c r="F283" s="9"/>
      <c r="G283" s="9"/>
      <c r="H283" s="9"/>
      <c r="I283" s="9"/>
      <c r="J283" s="9"/>
      <c r="K283" s="89"/>
      <c r="L283" s="9"/>
      <c r="M283" s="9"/>
      <c r="N283" s="9"/>
      <c r="O283" s="9"/>
      <c r="P283" s="9"/>
      <c r="Q283" s="9"/>
      <c r="R283" s="9"/>
    </row>
    <row r="284" spans="1:18" x14ac:dyDescent="0.3">
      <c r="A284" s="9"/>
      <c r="B284" s="9"/>
      <c r="C284" s="10"/>
      <c r="D284" s="9"/>
      <c r="E284" s="9"/>
      <c r="F284" s="9"/>
      <c r="G284" s="9"/>
      <c r="H284" s="9"/>
      <c r="I284" s="9"/>
      <c r="J284" s="9"/>
      <c r="K284" s="89"/>
      <c r="L284" s="9"/>
      <c r="M284" s="9"/>
      <c r="N284" s="9"/>
      <c r="O284" s="9"/>
      <c r="P284" s="9"/>
      <c r="Q284" s="9"/>
      <c r="R284" s="9"/>
    </row>
    <row r="285" spans="1:18" x14ac:dyDescent="0.3">
      <c r="A285" s="9"/>
      <c r="B285" s="9"/>
      <c r="C285" s="10"/>
      <c r="D285" s="9"/>
      <c r="E285" s="9"/>
      <c r="F285" s="9"/>
      <c r="G285" s="9"/>
      <c r="H285" s="9"/>
      <c r="I285" s="9"/>
      <c r="J285" s="9"/>
      <c r="K285" s="89"/>
      <c r="L285" s="9"/>
      <c r="M285" s="9"/>
      <c r="N285" s="9"/>
      <c r="O285" s="9"/>
      <c r="P285" s="9"/>
      <c r="Q285" s="9"/>
      <c r="R285" s="9"/>
    </row>
    <row r="286" spans="1:18" x14ac:dyDescent="0.3">
      <c r="A286" s="9"/>
      <c r="B286" s="9"/>
      <c r="C286" s="10"/>
      <c r="D286" s="9"/>
      <c r="E286" s="9"/>
      <c r="F286" s="9"/>
      <c r="G286" s="9"/>
      <c r="H286" s="9"/>
      <c r="I286" s="9"/>
      <c r="J286" s="9"/>
      <c r="K286" s="89"/>
      <c r="L286" s="9"/>
      <c r="M286" s="9"/>
      <c r="N286" s="9"/>
      <c r="O286" s="9"/>
      <c r="P286" s="9"/>
      <c r="Q286" s="9"/>
      <c r="R286" s="9"/>
    </row>
    <row r="287" spans="1:18" x14ac:dyDescent="0.3">
      <c r="A287" s="9"/>
      <c r="B287" s="9"/>
      <c r="C287" s="10"/>
      <c r="D287" s="9"/>
      <c r="E287" s="9"/>
      <c r="F287" s="9"/>
      <c r="G287" s="9"/>
      <c r="H287" s="9"/>
      <c r="I287" s="9"/>
      <c r="J287" s="9"/>
      <c r="K287" s="89"/>
      <c r="L287" s="9"/>
      <c r="M287" s="9"/>
      <c r="N287" s="9"/>
      <c r="O287" s="9"/>
      <c r="P287" s="9"/>
      <c r="Q287" s="9"/>
      <c r="R287" s="9"/>
    </row>
    <row r="288" spans="1:18" x14ac:dyDescent="0.3">
      <c r="A288" s="9"/>
      <c r="B288" s="9"/>
      <c r="C288" s="10"/>
      <c r="D288" s="9"/>
      <c r="E288" s="9"/>
      <c r="F288" s="9"/>
      <c r="G288" s="9"/>
      <c r="H288" s="9"/>
      <c r="I288" s="9"/>
      <c r="J288" s="9"/>
      <c r="K288" s="89"/>
      <c r="L288" s="9"/>
      <c r="M288" s="9"/>
      <c r="N288" s="9"/>
      <c r="O288" s="9"/>
      <c r="P288" s="9"/>
      <c r="Q288" s="9"/>
      <c r="R288" s="9"/>
    </row>
    <row r="289" spans="1:18" x14ac:dyDescent="0.3">
      <c r="A289" s="9"/>
      <c r="B289" s="9"/>
      <c r="C289" s="10"/>
      <c r="D289" s="9"/>
      <c r="E289" s="9"/>
      <c r="F289" s="9"/>
      <c r="G289" s="9"/>
      <c r="H289" s="9"/>
      <c r="I289" s="9"/>
      <c r="J289" s="9"/>
      <c r="K289" s="89"/>
      <c r="L289" s="9"/>
      <c r="M289" s="9"/>
      <c r="N289" s="9"/>
      <c r="O289" s="9"/>
      <c r="P289" s="9"/>
      <c r="Q289" s="9"/>
      <c r="R289" s="9"/>
    </row>
    <row r="290" spans="1:18" x14ac:dyDescent="0.3">
      <c r="A290" s="9"/>
      <c r="B290" s="9"/>
      <c r="C290" s="10"/>
      <c r="D290" s="9"/>
      <c r="E290" s="9"/>
      <c r="F290" s="9"/>
      <c r="G290" s="9"/>
      <c r="H290" s="9"/>
      <c r="I290" s="9"/>
      <c r="J290" s="9"/>
      <c r="K290" s="89"/>
      <c r="L290" s="9"/>
      <c r="M290" s="9"/>
      <c r="N290" s="9"/>
      <c r="O290" s="9"/>
      <c r="P290" s="9"/>
      <c r="Q290" s="9"/>
      <c r="R290" s="9"/>
    </row>
    <row r="291" spans="1:18" x14ac:dyDescent="0.3">
      <c r="A291" s="9"/>
      <c r="B291" s="9"/>
      <c r="C291" s="10"/>
      <c r="D291" s="9"/>
      <c r="E291" s="9"/>
      <c r="F291" s="9"/>
      <c r="G291" s="9"/>
      <c r="H291" s="9"/>
      <c r="I291" s="9"/>
      <c r="J291" s="9"/>
      <c r="K291" s="89"/>
      <c r="L291" s="9"/>
      <c r="M291" s="9"/>
      <c r="N291" s="9"/>
      <c r="O291" s="9"/>
      <c r="P291" s="9"/>
      <c r="Q291" s="9"/>
      <c r="R291" s="9"/>
    </row>
    <row r="292" spans="1:18" x14ac:dyDescent="0.3">
      <c r="A292" s="9"/>
      <c r="B292" s="9"/>
      <c r="C292" s="10"/>
      <c r="D292" s="9"/>
      <c r="E292" s="9"/>
      <c r="F292" s="9"/>
      <c r="G292" s="9"/>
      <c r="H292" s="9"/>
      <c r="I292" s="9"/>
      <c r="J292" s="9"/>
      <c r="K292" s="89"/>
      <c r="L292" s="9"/>
      <c r="M292" s="9"/>
      <c r="N292" s="9"/>
      <c r="O292" s="9"/>
      <c r="P292" s="9"/>
      <c r="Q292" s="9"/>
      <c r="R292" s="9"/>
    </row>
    <row r="293" spans="1:18" x14ac:dyDescent="0.3">
      <c r="A293" s="9"/>
      <c r="B293" s="9"/>
      <c r="C293" s="10"/>
      <c r="D293" s="9"/>
      <c r="E293" s="9"/>
      <c r="F293" s="9"/>
      <c r="G293" s="9"/>
      <c r="H293" s="9"/>
      <c r="I293" s="9"/>
      <c r="J293" s="9"/>
      <c r="K293" s="89"/>
      <c r="L293" s="9"/>
      <c r="M293" s="9"/>
      <c r="N293" s="9"/>
      <c r="O293" s="9"/>
      <c r="P293" s="9"/>
      <c r="Q293" s="9"/>
      <c r="R293" s="9"/>
    </row>
    <row r="294" spans="1:18" x14ac:dyDescent="0.3">
      <c r="A294" s="9"/>
      <c r="B294" s="9"/>
      <c r="C294" s="10"/>
      <c r="D294" s="9"/>
      <c r="E294" s="9"/>
      <c r="F294" s="9"/>
      <c r="G294" s="9"/>
      <c r="H294" s="9"/>
      <c r="I294" s="9"/>
      <c r="J294" s="9"/>
      <c r="K294" s="89"/>
      <c r="L294" s="9"/>
      <c r="M294" s="9"/>
      <c r="N294" s="9"/>
      <c r="O294" s="9"/>
      <c r="P294" s="9"/>
      <c r="Q294" s="9"/>
      <c r="R294" s="9"/>
    </row>
    <row r="295" spans="1:18" x14ac:dyDescent="0.3">
      <c r="A295" s="9"/>
      <c r="B295" s="9"/>
      <c r="C295" s="10"/>
      <c r="D295" s="9"/>
      <c r="E295" s="9"/>
      <c r="F295" s="9"/>
      <c r="G295" s="9"/>
      <c r="H295" s="9"/>
      <c r="I295" s="9"/>
      <c r="J295" s="9"/>
      <c r="K295" s="89"/>
      <c r="L295" s="9"/>
      <c r="M295" s="9"/>
      <c r="N295" s="9"/>
      <c r="O295" s="9"/>
      <c r="P295" s="9"/>
      <c r="Q295" s="9"/>
      <c r="R295" s="9"/>
    </row>
    <row r="296" spans="1:18" x14ac:dyDescent="0.3">
      <c r="A296" s="9"/>
      <c r="B296" s="9"/>
      <c r="C296" s="10"/>
      <c r="D296" s="9"/>
      <c r="E296" s="9"/>
      <c r="F296" s="9"/>
      <c r="G296" s="9"/>
      <c r="H296" s="9"/>
      <c r="I296" s="9"/>
      <c r="J296" s="9"/>
      <c r="K296" s="89"/>
      <c r="L296" s="9"/>
      <c r="M296" s="9"/>
      <c r="N296" s="9"/>
      <c r="O296" s="9"/>
      <c r="P296" s="9"/>
      <c r="Q296" s="9"/>
      <c r="R296" s="9"/>
    </row>
    <row r="297" spans="1:18" x14ac:dyDescent="0.3">
      <c r="A297" s="9"/>
      <c r="B297" s="9"/>
      <c r="C297" s="10"/>
      <c r="D297" s="9"/>
      <c r="E297" s="9"/>
      <c r="F297" s="9"/>
      <c r="G297" s="9"/>
      <c r="H297" s="9"/>
      <c r="I297" s="9"/>
      <c r="J297" s="9"/>
      <c r="K297" s="89"/>
      <c r="L297" s="9"/>
      <c r="M297" s="9"/>
      <c r="N297" s="9"/>
      <c r="O297" s="9"/>
      <c r="P297" s="9"/>
      <c r="Q297" s="9"/>
      <c r="R297" s="9"/>
    </row>
    <row r="298" spans="1:18" x14ac:dyDescent="0.3">
      <c r="A298" s="9"/>
      <c r="B298" s="9"/>
      <c r="C298" s="10"/>
      <c r="D298" s="9"/>
      <c r="E298" s="9"/>
      <c r="F298" s="9"/>
      <c r="G298" s="9"/>
      <c r="H298" s="9"/>
      <c r="I298" s="9"/>
      <c r="J298" s="9"/>
      <c r="K298" s="89"/>
      <c r="L298" s="9"/>
      <c r="M298" s="9"/>
      <c r="N298" s="9"/>
      <c r="O298" s="9"/>
      <c r="P298" s="9"/>
      <c r="Q298" s="9"/>
      <c r="R298" s="9"/>
    </row>
    <row r="299" spans="1:18" x14ac:dyDescent="0.3">
      <c r="A299" s="9"/>
      <c r="B299" s="9"/>
      <c r="C299" s="10"/>
      <c r="D299" s="9"/>
      <c r="E299" s="9"/>
      <c r="F299" s="9"/>
      <c r="G299" s="9"/>
      <c r="H299" s="9"/>
      <c r="I299" s="9"/>
      <c r="J299" s="9"/>
      <c r="K299" s="89"/>
      <c r="L299" s="9"/>
      <c r="M299" s="9"/>
      <c r="N299" s="9"/>
      <c r="O299" s="9"/>
      <c r="P299" s="9"/>
      <c r="Q299" s="9"/>
      <c r="R299" s="9"/>
    </row>
    <row r="300" spans="1:18" x14ac:dyDescent="0.3">
      <c r="A300" s="9"/>
      <c r="B300" s="9"/>
      <c r="C300" s="10"/>
      <c r="D300" s="9"/>
      <c r="E300" s="9"/>
      <c r="F300" s="9"/>
      <c r="G300" s="9"/>
      <c r="H300" s="9"/>
      <c r="I300" s="9"/>
      <c r="J300" s="9"/>
      <c r="K300" s="89"/>
      <c r="L300" s="9"/>
      <c r="M300" s="9"/>
      <c r="N300" s="9"/>
      <c r="O300" s="9"/>
      <c r="P300" s="9"/>
      <c r="Q300" s="9"/>
      <c r="R300" s="9"/>
    </row>
    <row r="301" spans="1:18" x14ac:dyDescent="0.3">
      <c r="A301" s="9"/>
      <c r="B301" s="9"/>
      <c r="C301" s="10"/>
      <c r="D301" s="9"/>
      <c r="E301" s="9"/>
      <c r="F301" s="9"/>
      <c r="G301" s="9"/>
      <c r="H301" s="9"/>
      <c r="I301" s="9"/>
      <c r="J301" s="9"/>
      <c r="K301" s="89"/>
      <c r="L301" s="9"/>
      <c r="M301" s="9"/>
      <c r="N301" s="9"/>
      <c r="O301" s="9"/>
      <c r="P301" s="9"/>
      <c r="Q301" s="9"/>
      <c r="R301" s="9"/>
    </row>
    <row r="302" spans="1:18" x14ac:dyDescent="0.3">
      <c r="A302" s="9"/>
      <c r="B302" s="9"/>
      <c r="C302" s="10"/>
      <c r="D302" s="9"/>
      <c r="E302" s="9"/>
      <c r="F302" s="9"/>
      <c r="G302" s="9"/>
      <c r="H302" s="9"/>
      <c r="I302" s="9"/>
      <c r="J302" s="9"/>
      <c r="K302" s="89"/>
      <c r="L302" s="9"/>
      <c r="M302" s="9"/>
      <c r="N302" s="9"/>
      <c r="O302" s="9"/>
      <c r="P302" s="9"/>
      <c r="Q302" s="9"/>
      <c r="R302" s="9"/>
    </row>
    <row r="303" spans="1:18" x14ac:dyDescent="0.3">
      <c r="A303" s="9"/>
      <c r="B303" s="9"/>
      <c r="C303" s="10"/>
      <c r="D303" s="9"/>
      <c r="E303" s="9"/>
      <c r="F303" s="9"/>
      <c r="G303" s="9"/>
      <c r="H303" s="9"/>
      <c r="I303" s="9"/>
      <c r="J303" s="9"/>
      <c r="K303" s="89"/>
      <c r="L303" s="9"/>
      <c r="M303" s="9"/>
      <c r="N303" s="9"/>
      <c r="O303" s="9"/>
      <c r="P303" s="9"/>
      <c r="Q303" s="9"/>
      <c r="R303" s="9"/>
    </row>
    <row r="304" spans="1:18" x14ac:dyDescent="0.3">
      <c r="A304" s="9"/>
      <c r="B304" s="9"/>
      <c r="C304" s="10"/>
      <c r="D304" s="9"/>
      <c r="E304" s="9"/>
      <c r="F304" s="9"/>
      <c r="G304" s="9"/>
      <c r="H304" s="9"/>
      <c r="I304" s="9"/>
      <c r="J304" s="9"/>
      <c r="K304" s="89"/>
      <c r="L304" s="9"/>
      <c r="M304" s="9"/>
      <c r="N304" s="9"/>
      <c r="O304" s="9"/>
      <c r="P304" s="9"/>
      <c r="Q304" s="9"/>
      <c r="R304" s="9"/>
    </row>
    <row r="305" spans="1:18" x14ac:dyDescent="0.3">
      <c r="A305" s="9"/>
      <c r="B305" s="9"/>
      <c r="C305" s="10"/>
      <c r="D305" s="9"/>
      <c r="E305" s="9"/>
      <c r="F305" s="9"/>
      <c r="G305" s="9"/>
      <c r="H305" s="9"/>
      <c r="I305" s="9"/>
      <c r="J305" s="9"/>
      <c r="K305" s="89"/>
      <c r="L305" s="9"/>
      <c r="M305" s="9"/>
      <c r="N305" s="9"/>
      <c r="O305" s="9"/>
      <c r="P305" s="9"/>
      <c r="Q305" s="9"/>
      <c r="R305" s="9"/>
    </row>
    <row r="306" spans="1:18" x14ac:dyDescent="0.3">
      <c r="A306" s="9"/>
      <c r="B306" s="9"/>
      <c r="C306" s="10"/>
      <c r="D306" s="9"/>
      <c r="E306" s="9"/>
      <c r="F306" s="9"/>
      <c r="G306" s="9"/>
      <c r="H306" s="9"/>
      <c r="I306" s="9"/>
      <c r="J306" s="9"/>
      <c r="K306" s="89"/>
      <c r="L306" s="9"/>
      <c r="M306" s="9"/>
      <c r="N306" s="9"/>
      <c r="O306" s="9"/>
      <c r="P306" s="9"/>
      <c r="Q306" s="9"/>
      <c r="R306" s="9"/>
    </row>
    <row r="307" spans="1:18" x14ac:dyDescent="0.3">
      <c r="A307" s="9"/>
      <c r="B307" s="9"/>
      <c r="C307" s="10"/>
      <c r="D307" s="9"/>
      <c r="E307" s="9"/>
      <c r="F307" s="9"/>
      <c r="G307" s="9"/>
      <c r="H307" s="9"/>
      <c r="I307" s="9"/>
      <c r="J307" s="9"/>
      <c r="K307" s="89"/>
      <c r="L307" s="9"/>
      <c r="M307" s="9"/>
      <c r="N307" s="9"/>
      <c r="O307" s="9"/>
      <c r="P307" s="9"/>
      <c r="Q307" s="9"/>
      <c r="R307" s="9"/>
    </row>
    <row r="308" spans="1:18" x14ac:dyDescent="0.3">
      <c r="A308" s="9"/>
      <c r="B308" s="9"/>
      <c r="C308" s="10"/>
      <c r="D308" s="9"/>
      <c r="E308" s="9"/>
      <c r="F308" s="9"/>
      <c r="G308" s="9"/>
      <c r="H308" s="9"/>
      <c r="I308" s="9"/>
      <c r="J308" s="9"/>
      <c r="K308" s="89"/>
      <c r="L308" s="9"/>
      <c r="M308" s="9"/>
      <c r="N308" s="9"/>
      <c r="O308" s="9"/>
      <c r="P308" s="9"/>
      <c r="Q308" s="9"/>
      <c r="R308" s="9"/>
    </row>
    <row r="309" spans="1:18" x14ac:dyDescent="0.3">
      <c r="A309" s="9"/>
      <c r="B309" s="9"/>
      <c r="C309" s="10"/>
      <c r="D309" s="9"/>
      <c r="E309" s="9"/>
      <c r="F309" s="9"/>
      <c r="G309" s="9"/>
      <c r="H309" s="9"/>
      <c r="I309" s="9"/>
      <c r="J309" s="9"/>
      <c r="K309" s="89"/>
      <c r="L309" s="9"/>
      <c r="M309" s="9"/>
      <c r="N309" s="9"/>
      <c r="O309" s="9"/>
      <c r="P309" s="9"/>
      <c r="Q309" s="9"/>
      <c r="R309" s="9"/>
    </row>
    <row r="310" spans="1:18" x14ac:dyDescent="0.3">
      <c r="A310" s="9"/>
      <c r="B310" s="9"/>
      <c r="C310" s="10"/>
      <c r="D310" s="9"/>
      <c r="E310" s="9"/>
      <c r="F310" s="9"/>
      <c r="G310" s="9"/>
      <c r="H310" s="9"/>
      <c r="I310" s="9"/>
      <c r="J310" s="9"/>
      <c r="K310" s="89"/>
      <c r="L310" s="9"/>
      <c r="M310" s="9"/>
      <c r="N310" s="9"/>
      <c r="O310" s="9"/>
      <c r="P310" s="9"/>
      <c r="Q310" s="9"/>
      <c r="R310" s="9"/>
    </row>
    <row r="311" spans="1:18" x14ac:dyDescent="0.3">
      <c r="A311" s="9"/>
      <c r="B311" s="9"/>
      <c r="C311" s="10"/>
      <c r="D311" s="9"/>
      <c r="E311" s="9"/>
      <c r="F311" s="9"/>
      <c r="G311" s="9"/>
      <c r="H311" s="9"/>
      <c r="I311" s="9"/>
      <c r="J311" s="9"/>
      <c r="K311" s="89"/>
      <c r="L311" s="9"/>
      <c r="M311" s="9"/>
      <c r="N311" s="9"/>
      <c r="O311" s="9"/>
      <c r="P311" s="9"/>
      <c r="Q311" s="9"/>
      <c r="R311" s="9"/>
    </row>
    <row r="312" spans="1:18" x14ac:dyDescent="0.3">
      <c r="A312" s="9"/>
      <c r="B312" s="9"/>
      <c r="C312" s="10"/>
      <c r="D312" s="9"/>
      <c r="E312" s="9"/>
      <c r="F312" s="9"/>
      <c r="G312" s="9"/>
      <c r="H312" s="9"/>
      <c r="I312" s="9"/>
      <c r="J312" s="9"/>
      <c r="K312" s="89"/>
      <c r="L312" s="9"/>
      <c r="M312" s="9"/>
      <c r="N312" s="9"/>
      <c r="O312" s="9"/>
      <c r="P312" s="9"/>
      <c r="Q312" s="9"/>
      <c r="R312" s="9"/>
    </row>
    <row r="313" spans="1:18" x14ac:dyDescent="0.3">
      <c r="A313" s="9"/>
      <c r="B313" s="9"/>
      <c r="C313" s="10"/>
      <c r="D313" s="9"/>
      <c r="E313" s="9"/>
      <c r="F313" s="9"/>
      <c r="G313" s="9"/>
      <c r="H313" s="9"/>
      <c r="I313" s="9"/>
      <c r="J313" s="9"/>
      <c r="K313" s="89"/>
      <c r="L313" s="9"/>
      <c r="M313" s="9"/>
      <c r="N313" s="9"/>
      <c r="O313" s="9"/>
      <c r="P313" s="9"/>
      <c r="Q313" s="9"/>
      <c r="R313" s="9"/>
    </row>
    <row r="314" spans="1:18" x14ac:dyDescent="0.3">
      <c r="A314" s="9"/>
      <c r="B314" s="9"/>
      <c r="C314" s="10"/>
      <c r="D314" s="9"/>
      <c r="E314" s="9"/>
      <c r="F314" s="9"/>
      <c r="G314" s="9"/>
      <c r="H314" s="9"/>
      <c r="I314" s="9"/>
      <c r="J314" s="9"/>
      <c r="K314" s="89"/>
      <c r="L314" s="9"/>
      <c r="M314" s="9"/>
      <c r="N314" s="9"/>
      <c r="O314" s="9"/>
      <c r="P314" s="9"/>
      <c r="Q314" s="9"/>
      <c r="R314" s="9"/>
    </row>
    <row r="315" spans="1:18" x14ac:dyDescent="0.3">
      <c r="A315" s="9"/>
      <c r="B315" s="9"/>
      <c r="C315" s="10"/>
      <c r="D315" s="9"/>
      <c r="E315" s="9"/>
      <c r="F315" s="9"/>
      <c r="G315" s="9"/>
      <c r="H315" s="9"/>
      <c r="I315" s="9"/>
      <c r="J315" s="9"/>
      <c r="K315" s="89"/>
      <c r="L315" s="9"/>
      <c r="M315" s="9"/>
      <c r="N315" s="9"/>
      <c r="O315" s="9"/>
      <c r="P315" s="9"/>
      <c r="Q315" s="9"/>
      <c r="R315" s="9"/>
    </row>
    <row r="316" spans="1:18" x14ac:dyDescent="0.3">
      <c r="A316" s="9"/>
      <c r="B316" s="9"/>
      <c r="C316" s="10"/>
      <c r="D316" s="9"/>
      <c r="E316" s="9"/>
      <c r="F316" s="9"/>
      <c r="G316" s="9"/>
      <c r="H316" s="9"/>
      <c r="I316" s="9"/>
      <c r="J316" s="9"/>
      <c r="K316" s="89"/>
      <c r="L316" s="9"/>
      <c r="M316" s="9"/>
      <c r="N316" s="9"/>
      <c r="O316" s="9"/>
      <c r="P316" s="9"/>
      <c r="Q316" s="9"/>
      <c r="R316" s="9"/>
    </row>
    <row r="317" spans="1:18" x14ac:dyDescent="0.3">
      <c r="A317" s="9"/>
      <c r="B317" s="9"/>
      <c r="C317" s="10"/>
      <c r="D317" s="9"/>
      <c r="E317" s="9"/>
      <c r="F317" s="9"/>
      <c r="G317" s="9"/>
      <c r="H317" s="9"/>
      <c r="I317" s="9"/>
      <c r="J317" s="9"/>
      <c r="K317" s="89"/>
      <c r="L317" s="9"/>
      <c r="M317" s="9"/>
      <c r="N317" s="9"/>
      <c r="O317" s="9"/>
      <c r="P317" s="9"/>
      <c r="Q317" s="9"/>
      <c r="R317" s="9"/>
    </row>
    <row r="318" spans="1:18" x14ac:dyDescent="0.3">
      <c r="A318" s="9"/>
      <c r="B318" s="9"/>
      <c r="C318" s="10"/>
      <c r="D318" s="9"/>
      <c r="E318" s="9"/>
      <c r="F318" s="9"/>
      <c r="G318" s="9"/>
      <c r="H318" s="9"/>
      <c r="I318" s="9"/>
      <c r="J318" s="9"/>
      <c r="K318" s="89"/>
      <c r="L318" s="9"/>
      <c r="M318" s="9"/>
      <c r="N318" s="9"/>
      <c r="O318" s="9"/>
      <c r="P318" s="9"/>
      <c r="Q318" s="9"/>
      <c r="R318" s="9"/>
    </row>
    <row r="319" spans="1:18" x14ac:dyDescent="0.3">
      <c r="A319" s="9"/>
      <c r="B319" s="9"/>
      <c r="C319" s="10"/>
      <c r="D319" s="9"/>
      <c r="E319" s="9"/>
      <c r="F319" s="9"/>
      <c r="G319" s="9"/>
      <c r="H319" s="9"/>
      <c r="I319" s="9"/>
      <c r="J319" s="9"/>
      <c r="K319" s="89"/>
      <c r="L319" s="9"/>
      <c r="M319" s="9"/>
      <c r="N319" s="9"/>
      <c r="O319" s="9"/>
      <c r="P319" s="9"/>
      <c r="Q319" s="9"/>
      <c r="R319" s="9"/>
    </row>
    <row r="320" spans="1:18" x14ac:dyDescent="0.3">
      <c r="A320" s="9"/>
      <c r="B320" s="9"/>
      <c r="C320" s="10"/>
      <c r="D320" s="9"/>
      <c r="E320" s="9"/>
      <c r="F320" s="9"/>
      <c r="G320" s="9"/>
      <c r="H320" s="9"/>
      <c r="I320" s="9"/>
      <c r="J320" s="9"/>
      <c r="K320" s="89"/>
      <c r="L320" s="9"/>
      <c r="M320" s="9"/>
      <c r="N320" s="9"/>
      <c r="O320" s="9"/>
      <c r="P320" s="9"/>
      <c r="Q320" s="9"/>
      <c r="R320" s="9"/>
    </row>
    <row r="321" spans="1:18" x14ac:dyDescent="0.3">
      <c r="A321" s="9"/>
      <c r="B321" s="9"/>
      <c r="C321" s="10"/>
      <c r="D321" s="9"/>
      <c r="E321" s="9"/>
      <c r="F321" s="9"/>
      <c r="G321" s="9"/>
      <c r="H321" s="9"/>
      <c r="I321" s="9"/>
      <c r="J321" s="9"/>
      <c r="K321" s="89"/>
      <c r="L321" s="9"/>
      <c r="M321" s="9"/>
      <c r="N321" s="9"/>
      <c r="O321" s="9"/>
      <c r="P321" s="9"/>
      <c r="Q321" s="9"/>
      <c r="R321" s="9"/>
    </row>
    <row r="322" spans="1:18" x14ac:dyDescent="0.3">
      <c r="A322" s="9"/>
      <c r="B322" s="9"/>
      <c r="C322" s="10"/>
      <c r="D322" s="9"/>
      <c r="E322" s="9"/>
      <c r="F322" s="9"/>
      <c r="G322" s="9"/>
      <c r="H322" s="9"/>
      <c r="I322" s="9"/>
      <c r="J322" s="9"/>
      <c r="K322" s="89"/>
      <c r="L322" s="9"/>
      <c r="M322" s="9"/>
      <c r="N322" s="9"/>
      <c r="O322" s="9"/>
      <c r="P322" s="9"/>
      <c r="Q322" s="9"/>
      <c r="R322" s="9"/>
    </row>
    <row r="323" spans="1:18" x14ac:dyDescent="0.3">
      <c r="A323" s="9"/>
      <c r="B323" s="9"/>
      <c r="C323" s="10"/>
      <c r="D323" s="9"/>
      <c r="E323" s="9"/>
      <c r="F323" s="9"/>
      <c r="G323" s="9"/>
      <c r="H323" s="9"/>
      <c r="I323" s="9"/>
      <c r="J323" s="9"/>
      <c r="K323" s="89"/>
      <c r="L323" s="9"/>
      <c r="M323" s="9"/>
      <c r="N323" s="9"/>
      <c r="O323" s="9"/>
      <c r="P323" s="9"/>
      <c r="Q323" s="9"/>
      <c r="R323" s="9"/>
    </row>
    <row r="324" spans="1:18" x14ac:dyDescent="0.3">
      <c r="A324" s="9"/>
      <c r="B324" s="9"/>
      <c r="C324" s="10"/>
      <c r="D324" s="9"/>
      <c r="E324" s="9"/>
      <c r="F324" s="9"/>
      <c r="G324" s="9"/>
      <c r="H324" s="9"/>
      <c r="I324" s="9"/>
      <c r="J324" s="9"/>
      <c r="K324" s="89"/>
      <c r="L324" s="9"/>
      <c r="M324" s="9"/>
      <c r="N324" s="9"/>
      <c r="O324" s="9"/>
      <c r="P324" s="9"/>
      <c r="Q324" s="9"/>
      <c r="R324" s="9"/>
    </row>
    <row r="325" spans="1:18" x14ac:dyDescent="0.3">
      <c r="A325" s="9"/>
      <c r="B325" s="9"/>
      <c r="C325" s="10"/>
      <c r="D325" s="9"/>
      <c r="E325" s="9"/>
      <c r="F325" s="9"/>
      <c r="G325" s="9"/>
      <c r="H325" s="9"/>
      <c r="I325" s="9"/>
      <c r="J325" s="9"/>
      <c r="K325" s="89"/>
      <c r="L325" s="9"/>
      <c r="M325" s="9"/>
      <c r="N325" s="9"/>
      <c r="O325" s="9"/>
      <c r="P325" s="9"/>
      <c r="Q325" s="9"/>
      <c r="R325" s="9"/>
    </row>
    <row r="326" spans="1:18" x14ac:dyDescent="0.3">
      <c r="A326" s="9"/>
      <c r="B326" s="9"/>
      <c r="C326" s="10"/>
      <c r="D326" s="9"/>
      <c r="E326" s="9"/>
      <c r="F326" s="9"/>
      <c r="G326" s="9"/>
      <c r="H326" s="9"/>
      <c r="I326" s="9"/>
      <c r="J326" s="9"/>
      <c r="K326" s="89"/>
      <c r="L326" s="9"/>
      <c r="M326" s="9"/>
      <c r="N326" s="9"/>
      <c r="O326" s="9"/>
      <c r="P326" s="9"/>
      <c r="Q326" s="9"/>
      <c r="R326" s="9"/>
    </row>
    <row r="327" spans="1:18" x14ac:dyDescent="0.3">
      <c r="A327" s="9"/>
      <c r="B327" s="9"/>
      <c r="C327" s="10"/>
      <c r="D327" s="9"/>
      <c r="E327" s="9"/>
      <c r="F327" s="9"/>
      <c r="G327" s="9"/>
      <c r="H327" s="9"/>
      <c r="I327" s="9"/>
      <c r="J327" s="9"/>
      <c r="K327" s="89"/>
      <c r="L327" s="9"/>
      <c r="M327" s="9"/>
      <c r="N327" s="9"/>
      <c r="O327" s="9"/>
      <c r="P327" s="9"/>
      <c r="Q327" s="9"/>
      <c r="R327" s="9"/>
    </row>
    <row r="328" spans="1:18" x14ac:dyDescent="0.3">
      <c r="A328" s="9"/>
      <c r="B328" s="9"/>
      <c r="C328" s="10"/>
      <c r="D328" s="9"/>
      <c r="E328" s="9"/>
      <c r="F328" s="9"/>
      <c r="G328" s="9"/>
      <c r="H328" s="9"/>
      <c r="I328" s="9"/>
      <c r="J328" s="9"/>
      <c r="K328" s="89"/>
      <c r="L328" s="9"/>
      <c r="M328" s="9"/>
      <c r="N328" s="9"/>
      <c r="O328" s="9"/>
      <c r="P328" s="9"/>
      <c r="Q328" s="9"/>
      <c r="R328" s="9"/>
    </row>
    <row r="329" spans="1:18" x14ac:dyDescent="0.3">
      <c r="A329" s="9"/>
      <c r="B329" s="9"/>
      <c r="C329" s="10"/>
      <c r="D329" s="9"/>
      <c r="E329" s="9"/>
      <c r="F329" s="9"/>
      <c r="G329" s="9"/>
      <c r="H329" s="9"/>
      <c r="I329" s="9"/>
      <c r="J329" s="9"/>
      <c r="K329" s="89"/>
      <c r="L329" s="9"/>
      <c r="M329" s="9"/>
      <c r="N329" s="9"/>
      <c r="O329" s="9"/>
      <c r="P329" s="9"/>
      <c r="Q329" s="9"/>
      <c r="R329" s="9"/>
    </row>
    <row r="330" spans="1:18" x14ac:dyDescent="0.3">
      <c r="A330" s="9"/>
      <c r="B330" s="9"/>
      <c r="C330" s="10"/>
      <c r="D330" s="9"/>
      <c r="E330" s="9"/>
      <c r="F330" s="9"/>
      <c r="G330" s="9"/>
      <c r="H330" s="9"/>
      <c r="I330" s="9"/>
      <c r="J330" s="9"/>
      <c r="K330" s="89"/>
      <c r="L330" s="9"/>
      <c r="M330" s="9"/>
      <c r="N330" s="9"/>
      <c r="O330" s="9"/>
      <c r="P330" s="9"/>
      <c r="Q330" s="9"/>
      <c r="R330" s="9"/>
    </row>
    <row r="331" spans="1:18" x14ac:dyDescent="0.3">
      <c r="A331" s="9"/>
      <c r="B331" s="9"/>
      <c r="C331" s="10"/>
      <c r="D331" s="9"/>
      <c r="E331" s="9"/>
      <c r="F331" s="9"/>
      <c r="G331" s="9"/>
      <c r="H331" s="9"/>
      <c r="I331" s="9"/>
      <c r="J331" s="9"/>
      <c r="K331" s="89"/>
      <c r="L331" s="9"/>
      <c r="M331" s="9"/>
      <c r="N331" s="9"/>
      <c r="O331" s="9"/>
      <c r="P331" s="9"/>
      <c r="Q331" s="9"/>
      <c r="R331" s="9"/>
    </row>
    <row r="332" spans="1:18" x14ac:dyDescent="0.3">
      <c r="A332" s="9"/>
      <c r="B332" s="9"/>
      <c r="C332" s="10"/>
      <c r="D332" s="9"/>
      <c r="E332" s="9"/>
      <c r="F332" s="9"/>
      <c r="G332" s="9"/>
      <c r="H332" s="9"/>
      <c r="I332" s="9"/>
      <c r="J332" s="9"/>
      <c r="K332" s="89"/>
      <c r="L332" s="9"/>
      <c r="M332" s="9"/>
      <c r="N332" s="9"/>
      <c r="O332" s="9"/>
      <c r="P332" s="9"/>
      <c r="Q332" s="9"/>
      <c r="R332" s="9"/>
    </row>
    <row r="333" spans="1:18" x14ac:dyDescent="0.3">
      <c r="A333" s="9"/>
      <c r="B333" s="9"/>
      <c r="C333" s="10"/>
      <c r="D333" s="9"/>
      <c r="E333" s="9"/>
      <c r="F333" s="9"/>
      <c r="G333" s="9"/>
      <c r="H333" s="9"/>
      <c r="I333" s="9"/>
      <c r="J333" s="9"/>
      <c r="K333" s="89"/>
      <c r="L333" s="9"/>
      <c r="M333" s="9"/>
      <c r="N333" s="9"/>
      <c r="O333" s="9"/>
      <c r="P333" s="9"/>
      <c r="Q333" s="9"/>
      <c r="R333" s="9"/>
    </row>
    <row r="334" spans="1:18" x14ac:dyDescent="0.3">
      <c r="A334" s="9"/>
      <c r="B334" s="9"/>
      <c r="C334" s="10"/>
      <c r="D334" s="9"/>
      <c r="E334" s="9"/>
      <c r="F334" s="9"/>
      <c r="G334" s="9"/>
      <c r="H334" s="9"/>
      <c r="I334" s="9"/>
      <c r="J334" s="9"/>
      <c r="K334" s="89"/>
      <c r="L334" s="9"/>
      <c r="M334" s="9"/>
      <c r="N334" s="9"/>
      <c r="O334" s="9"/>
      <c r="P334" s="9"/>
      <c r="Q334" s="9"/>
      <c r="R334" s="9"/>
    </row>
    <row r="335" spans="1:18" x14ac:dyDescent="0.3">
      <c r="A335" s="9"/>
      <c r="B335" s="9"/>
      <c r="C335" s="10"/>
      <c r="D335" s="9"/>
      <c r="E335" s="9"/>
      <c r="F335" s="9"/>
      <c r="G335" s="9"/>
      <c r="H335" s="9"/>
      <c r="I335" s="9"/>
      <c r="J335" s="9"/>
      <c r="K335" s="89"/>
      <c r="L335" s="9"/>
      <c r="M335" s="9"/>
      <c r="N335" s="9"/>
      <c r="O335" s="9"/>
      <c r="P335" s="9"/>
      <c r="Q335" s="9"/>
      <c r="R335" s="9"/>
    </row>
    <row r="336" spans="1:18" x14ac:dyDescent="0.3">
      <c r="A336" s="9"/>
      <c r="B336" s="9"/>
      <c r="C336" s="10"/>
      <c r="D336" s="9"/>
      <c r="E336" s="9"/>
      <c r="F336" s="9"/>
      <c r="G336" s="9"/>
      <c r="H336" s="9"/>
      <c r="I336" s="9"/>
      <c r="J336" s="9"/>
      <c r="K336" s="89"/>
      <c r="L336" s="9"/>
      <c r="M336" s="9"/>
      <c r="N336" s="9"/>
      <c r="O336" s="9"/>
      <c r="P336" s="9"/>
      <c r="Q336" s="9"/>
      <c r="R336" s="9"/>
    </row>
  </sheetData>
  <autoFilter ref="A4:R336" xr:uid="{00000000-0009-0000-0000-000002000000}"/>
  <mergeCells count="2">
    <mergeCell ref="A1:R1"/>
    <mergeCell ref="A2:R2"/>
  </mergeCells>
  <dataValidations count="1">
    <dataValidation type="whole" allowBlank="1" showErrorMessage="1" errorTitle="Stage number" error="Enter the stage number (1–99) from 'PV Stages (ref)' or 'HE Stages'." sqref="I5:J336" xr:uid="{00000000-0002-0000-0200-000000000000}">
      <formula1>1</formula1>
      <formula2>99</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showErrorMessage="1" errorTitle="Pick from list" error="Choose a value from the 'Operations' list. For a new operation use the 'New Operations' sheet." xr:uid="{00000000-0002-0000-0200-000001000000}">
          <x14:formula1>
            <xm:f>Lists!$A$2:$A$18</xm:f>
          </x14:formula1>
          <x14:formula2>
            <xm:f>0</xm:f>
          </x14:formula2>
          <xm:sqref>F5:F336</xm:sqref>
        </x14:dataValidation>
        <x14:dataValidation type="list" allowBlank="1" showErrorMessage="1" errorTitle="Pick from list" error="Choose a value from the 'Departments' list. For a new operation use the 'New Operations' sheet." xr:uid="{00000000-0002-0000-0200-000002000000}">
          <x14:formula1>
            <xm:f>Lists!$B$2:$B$15</xm:f>
          </x14:formula1>
          <x14:formula2>
            <xm:f>0</xm:f>
          </x14:formula2>
          <xm:sqref>H5:H336</xm:sqref>
        </x14:dataValidation>
        <x14:dataValidation type="list" allowBlank="1" showErrorMessage="1" errorTitle="Pick from list" error="Choose a value from the 'Time Unit' list. For a new operation use the 'New Operations' sheet." xr:uid="{00000000-0002-0000-0200-000003000000}">
          <x14:formula1>
            <xm:f>Lists!$I$2:$I$3</xm:f>
          </x14:formula1>
          <x14:formula2>
            <xm:f>0</xm:f>
          </x14:formula2>
          <xm:sqref>L5:L336</xm:sqref>
        </x14:dataValidation>
        <x14:dataValidation type="list" allowBlank="1" showErrorMessage="1" errorTitle="Pick from list" error="Choose a value from the 'Time Basis' list. For a new operation use the 'New Operations' sheet." xr:uid="{00000000-0002-0000-0200-000004000000}">
          <x14:formula1>
            <xm:f>Lists!$J$2:$J$8</xm:f>
          </x14:formula1>
          <x14:formula2>
            <xm:f>0</xm:f>
          </x14:formula2>
          <xm:sqref>M5:M336</xm:sqref>
        </x14:dataValidation>
        <x14:dataValidation type="list" allowBlank="1" showErrorMessage="1" errorTitle="Pick from list" error="Choose a value from the 'Yes / No' list. For a new operation use the 'New Operations' sheet." xr:uid="{00000000-0002-0000-0200-000005000000}">
          <x14:formula1>
            <xm:f>Lists!$H$2:$H$3</xm:f>
          </x14:formula1>
          <x14:formula2>
            <xm:f>0</xm:f>
          </x14:formula2>
          <xm:sqref>N5:N336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317"/>
  <sheetViews>
    <sheetView zoomScale="90" zoomScaleNormal="90" workbookViewId="0">
      <pane xSplit="2" ySplit="4" topLeftCell="C5" activePane="bottomRight" state="frozen"/>
      <selection pane="topRight" activeCell="C1" sqref="C1"/>
      <selection pane="bottomLeft" activeCell="A5" sqref="A5"/>
      <selection pane="bottomRight" activeCell="A13" sqref="A13:C32"/>
    </sheetView>
  </sheetViews>
  <sheetFormatPr defaultColWidth="8.6640625" defaultRowHeight="14.4" x14ac:dyDescent="0.3"/>
  <cols>
    <col min="1" max="1" width="16.109375" bestFit="1" customWidth="1"/>
    <col min="2" max="2" width="16.5546875" bestFit="1" customWidth="1"/>
    <col min="3" max="3" width="9.77734375" bestFit="1" customWidth="1"/>
    <col min="4" max="4" width="21.88671875" bestFit="1" customWidth="1"/>
    <col min="5" max="5" width="8" customWidth="1"/>
    <col min="6" max="6" width="7.21875" bestFit="1" customWidth="1"/>
    <col min="7" max="7" width="48.109375" customWidth="1"/>
    <col min="8" max="8" width="11.33203125" bestFit="1" customWidth="1"/>
    <col min="9" max="10" width="40.77734375" customWidth="1"/>
    <col min="11" max="11" width="9.77734375" bestFit="1" customWidth="1"/>
    <col min="12" max="12" width="21.109375" bestFit="1" customWidth="1"/>
    <col min="13" max="13" width="13.109375" bestFit="1" customWidth="1"/>
    <col min="14" max="14" width="46.33203125" customWidth="1"/>
  </cols>
  <sheetData>
    <row r="1" spans="1:14" x14ac:dyDescent="0.3">
      <c r="A1" s="139" t="s">
        <v>2190</v>
      </c>
      <c r="B1" s="139"/>
      <c r="C1" s="139"/>
      <c r="D1" s="139"/>
      <c r="E1" s="139"/>
      <c r="F1" s="139"/>
      <c r="G1" s="139"/>
      <c r="H1" s="139"/>
      <c r="I1" s="139"/>
      <c r="J1" s="139"/>
      <c r="K1" s="139"/>
      <c r="L1" s="139"/>
      <c r="M1" s="139"/>
      <c r="N1" s="139"/>
    </row>
    <row r="2" spans="1:14" x14ac:dyDescent="0.3">
      <c r="A2" s="48" t="s">
        <v>140</v>
      </c>
      <c r="B2" s="48"/>
      <c r="C2" s="48"/>
      <c r="D2" s="48"/>
      <c r="E2" s="48"/>
      <c r="F2" s="48"/>
      <c r="G2" s="48"/>
      <c r="H2" s="48"/>
      <c r="I2" s="48"/>
      <c r="J2" s="48"/>
      <c r="K2" s="48"/>
      <c r="L2" s="48"/>
      <c r="M2" s="48"/>
      <c r="N2" s="48"/>
    </row>
    <row r="4" spans="1:14" ht="41.4" x14ac:dyDescent="0.3">
      <c r="A4" s="82" t="s">
        <v>53</v>
      </c>
      <c r="B4" s="82" t="s">
        <v>141</v>
      </c>
      <c r="C4" s="82" t="s">
        <v>142</v>
      </c>
      <c r="D4" s="82" t="s">
        <v>143</v>
      </c>
      <c r="E4" s="82" t="s">
        <v>144</v>
      </c>
      <c r="F4" s="82" t="s">
        <v>108</v>
      </c>
      <c r="G4" s="82" t="s">
        <v>145</v>
      </c>
      <c r="H4" s="82" t="s">
        <v>146</v>
      </c>
      <c r="I4" s="82" t="s">
        <v>147</v>
      </c>
      <c r="J4" s="82" t="s">
        <v>148</v>
      </c>
      <c r="K4" s="82" t="s">
        <v>149</v>
      </c>
      <c r="L4" s="82" t="s">
        <v>111</v>
      </c>
      <c r="M4" s="82" t="s">
        <v>150</v>
      </c>
      <c r="N4" s="82" t="s">
        <v>69</v>
      </c>
    </row>
    <row r="5" spans="1:14" ht="28.8" x14ac:dyDescent="0.3">
      <c r="A5" s="8" t="s">
        <v>151</v>
      </c>
      <c r="B5" s="8" t="s">
        <v>152</v>
      </c>
      <c r="C5" s="8" t="s">
        <v>153</v>
      </c>
      <c r="D5" s="8" t="s">
        <v>154</v>
      </c>
      <c r="E5" s="8" t="s">
        <v>155</v>
      </c>
      <c r="F5" s="8">
        <v>13</v>
      </c>
      <c r="G5" s="8" t="s">
        <v>156</v>
      </c>
      <c r="H5" s="8" t="s">
        <v>157</v>
      </c>
      <c r="I5" s="8" t="s">
        <v>73</v>
      </c>
      <c r="J5" s="8"/>
      <c r="K5" s="8"/>
      <c r="L5" s="8" t="s">
        <v>131</v>
      </c>
      <c r="M5" s="8">
        <v>16</v>
      </c>
      <c r="N5" s="8" t="s">
        <v>158</v>
      </c>
    </row>
    <row r="6" spans="1:14" ht="28.8" x14ac:dyDescent="0.3">
      <c r="A6" s="8" t="s">
        <v>151</v>
      </c>
      <c r="B6" s="8" t="s">
        <v>152</v>
      </c>
      <c r="C6" s="8" t="s">
        <v>153</v>
      </c>
      <c r="D6" s="8" t="s">
        <v>154</v>
      </c>
      <c r="E6" s="8" t="s">
        <v>155</v>
      </c>
      <c r="F6" s="8">
        <v>14</v>
      </c>
      <c r="G6" s="8" t="s">
        <v>159</v>
      </c>
      <c r="H6" s="8" t="s">
        <v>157</v>
      </c>
      <c r="I6" s="8" t="s">
        <v>73</v>
      </c>
      <c r="J6" s="8"/>
      <c r="K6" s="8"/>
      <c r="L6" s="8" t="s">
        <v>131</v>
      </c>
      <c r="M6" s="8">
        <v>16</v>
      </c>
      <c r="N6" s="8" t="s">
        <v>158</v>
      </c>
    </row>
    <row r="7" spans="1:14" ht="28.8" x14ac:dyDescent="0.3">
      <c r="A7" s="8" t="s">
        <v>151</v>
      </c>
      <c r="B7" s="8" t="s">
        <v>152</v>
      </c>
      <c r="C7" s="8" t="s">
        <v>153</v>
      </c>
      <c r="D7" s="8" t="s">
        <v>154</v>
      </c>
      <c r="E7" s="8" t="s">
        <v>155</v>
      </c>
      <c r="F7" s="8">
        <v>15</v>
      </c>
      <c r="G7" s="8" t="s">
        <v>160</v>
      </c>
      <c r="H7" s="8" t="s">
        <v>157</v>
      </c>
      <c r="I7" s="8" t="s">
        <v>73</v>
      </c>
      <c r="J7" s="8" t="s">
        <v>161</v>
      </c>
      <c r="K7" s="8" t="s">
        <v>162</v>
      </c>
      <c r="L7" s="8" t="s">
        <v>131</v>
      </c>
      <c r="M7" s="8">
        <v>16</v>
      </c>
      <c r="N7" s="8" t="s">
        <v>158</v>
      </c>
    </row>
    <row r="8" spans="1:14" ht="28.8" x14ac:dyDescent="0.3">
      <c r="A8" s="8" t="s">
        <v>151</v>
      </c>
      <c r="B8" s="8" t="s">
        <v>152</v>
      </c>
      <c r="C8" s="8" t="s">
        <v>153</v>
      </c>
      <c r="D8" s="8" t="s">
        <v>154</v>
      </c>
      <c r="E8" s="8" t="s">
        <v>155</v>
      </c>
      <c r="F8" s="8">
        <v>16</v>
      </c>
      <c r="G8" s="8" t="s">
        <v>163</v>
      </c>
      <c r="H8" s="8" t="s">
        <v>135</v>
      </c>
      <c r="I8" s="8"/>
      <c r="J8" s="8"/>
      <c r="K8" s="8"/>
      <c r="L8" s="8" t="s">
        <v>124</v>
      </c>
      <c r="M8" s="8">
        <v>17</v>
      </c>
      <c r="N8" s="8" t="s">
        <v>158</v>
      </c>
    </row>
    <row r="9" spans="1:14" ht="28.8" x14ac:dyDescent="0.3">
      <c r="A9" s="8" t="s">
        <v>151</v>
      </c>
      <c r="B9" s="8" t="s">
        <v>152</v>
      </c>
      <c r="C9" s="8" t="s">
        <v>153</v>
      </c>
      <c r="D9" s="8" t="s">
        <v>154</v>
      </c>
      <c r="E9" s="8" t="s">
        <v>155</v>
      </c>
      <c r="F9" s="8">
        <v>17</v>
      </c>
      <c r="G9" s="8" t="s">
        <v>164</v>
      </c>
      <c r="H9" s="8" t="s">
        <v>135</v>
      </c>
      <c r="I9" s="8"/>
      <c r="J9" s="8"/>
      <c r="K9" s="8"/>
      <c r="L9" s="8" t="s">
        <v>124</v>
      </c>
      <c r="M9" s="8">
        <v>17</v>
      </c>
      <c r="N9" s="8" t="s">
        <v>158</v>
      </c>
    </row>
    <row r="10" spans="1:14" ht="28.8" x14ac:dyDescent="0.3">
      <c r="A10" s="8" t="s">
        <v>151</v>
      </c>
      <c r="B10" s="8" t="s">
        <v>152</v>
      </c>
      <c r="C10" s="8" t="s">
        <v>165</v>
      </c>
      <c r="D10" s="8" t="s">
        <v>166</v>
      </c>
      <c r="E10" s="8" t="s">
        <v>167</v>
      </c>
      <c r="F10" s="8">
        <v>22</v>
      </c>
      <c r="G10" s="8" t="s">
        <v>168</v>
      </c>
      <c r="H10" s="8" t="s">
        <v>157</v>
      </c>
      <c r="I10" s="8" t="s">
        <v>169</v>
      </c>
      <c r="J10" s="8" t="s">
        <v>170</v>
      </c>
      <c r="K10" s="8"/>
      <c r="L10" s="8" t="s">
        <v>131</v>
      </c>
      <c r="M10" s="8">
        <v>16</v>
      </c>
      <c r="N10" s="8" t="s">
        <v>158</v>
      </c>
    </row>
    <row r="11" spans="1:14" ht="28.8" x14ac:dyDescent="0.3">
      <c r="A11" s="8" t="s">
        <v>151</v>
      </c>
      <c r="B11" s="8" t="s">
        <v>152</v>
      </c>
      <c r="C11" s="8" t="s">
        <v>165</v>
      </c>
      <c r="D11" s="8" t="s">
        <v>166</v>
      </c>
      <c r="E11" s="8" t="s">
        <v>167</v>
      </c>
      <c r="F11" s="8">
        <v>23</v>
      </c>
      <c r="G11" s="8" t="s">
        <v>171</v>
      </c>
      <c r="H11" s="8" t="s">
        <v>157</v>
      </c>
      <c r="I11" s="8"/>
      <c r="J11" s="8"/>
      <c r="K11" s="8" t="s">
        <v>172</v>
      </c>
      <c r="L11" s="8" t="s">
        <v>131</v>
      </c>
      <c r="M11" s="8">
        <v>16</v>
      </c>
      <c r="N11" s="8" t="s">
        <v>158</v>
      </c>
    </row>
    <row r="12" spans="1:14" ht="28.8" x14ac:dyDescent="0.3">
      <c r="A12" s="8" t="s">
        <v>151</v>
      </c>
      <c r="B12" s="8" t="s">
        <v>152</v>
      </c>
      <c r="C12" s="8" t="s">
        <v>165</v>
      </c>
      <c r="D12" s="8" t="s">
        <v>166</v>
      </c>
      <c r="E12" s="8" t="s">
        <v>167</v>
      </c>
      <c r="F12" s="8">
        <v>24</v>
      </c>
      <c r="G12" s="8" t="s">
        <v>173</v>
      </c>
      <c r="H12" s="8" t="s">
        <v>135</v>
      </c>
      <c r="I12" s="8"/>
      <c r="J12" s="8"/>
      <c r="K12" s="8"/>
      <c r="L12" s="8" t="s">
        <v>124</v>
      </c>
      <c r="M12" s="8">
        <v>17</v>
      </c>
      <c r="N12" s="8" t="s">
        <v>158</v>
      </c>
    </row>
    <row r="13" spans="1:14" ht="28.8" x14ac:dyDescent="0.3">
      <c r="A13" s="33" t="s">
        <v>151</v>
      </c>
      <c r="B13" s="33" t="s">
        <v>152</v>
      </c>
      <c r="C13" s="33" t="s">
        <v>165</v>
      </c>
      <c r="D13" s="33" t="s">
        <v>166</v>
      </c>
      <c r="E13" s="33" t="s">
        <v>167</v>
      </c>
      <c r="F13" s="33">
        <v>25</v>
      </c>
      <c r="G13" s="33" t="s">
        <v>174</v>
      </c>
      <c r="H13" s="33" t="s">
        <v>135</v>
      </c>
      <c r="I13" s="33"/>
      <c r="J13" s="33"/>
      <c r="K13" s="33"/>
      <c r="L13" s="33" t="s">
        <v>124</v>
      </c>
      <c r="M13" s="33">
        <v>17</v>
      </c>
      <c r="N13" s="33" t="s">
        <v>158</v>
      </c>
    </row>
    <row r="14" spans="1:14" ht="41.4" x14ac:dyDescent="0.3">
      <c r="A14" s="38" t="s">
        <v>782</v>
      </c>
      <c r="B14" s="32" t="s">
        <v>829</v>
      </c>
      <c r="C14" s="32" t="s">
        <v>830</v>
      </c>
      <c r="D14" s="32" t="s">
        <v>831</v>
      </c>
      <c r="E14" s="32">
        <v>1.1000000000000001</v>
      </c>
      <c r="F14" s="32">
        <v>10</v>
      </c>
      <c r="G14" s="32" t="s">
        <v>832</v>
      </c>
      <c r="H14" s="32" t="s">
        <v>157</v>
      </c>
      <c r="I14" s="32" t="s">
        <v>833</v>
      </c>
      <c r="J14" s="32" t="s">
        <v>834</v>
      </c>
      <c r="K14" s="32"/>
      <c r="L14" s="41"/>
      <c r="M14" s="41"/>
      <c r="N14" s="32" t="s">
        <v>835</v>
      </c>
    </row>
    <row r="15" spans="1:14" ht="41.4" x14ac:dyDescent="0.3">
      <c r="A15" s="38" t="s">
        <v>782</v>
      </c>
      <c r="B15" s="32" t="s">
        <v>829</v>
      </c>
      <c r="C15" s="32" t="s">
        <v>836</v>
      </c>
      <c r="D15" s="32" t="s">
        <v>837</v>
      </c>
      <c r="E15" s="32">
        <v>1.2</v>
      </c>
      <c r="F15" s="32">
        <v>10</v>
      </c>
      <c r="G15" s="32" t="s">
        <v>838</v>
      </c>
      <c r="H15" s="32" t="s">
        <v>157</v>
      </c>
      <c r="I15" s="32" t="s">
        <v>833</v>
      </c>
      <c r="J15" s="32" t="s">
        <v>839</v>
      </c>
      <c r="K15" s="32"/>
      <c r="L15" s="41"/>
      <c r="M15" s="41"/>
      <c r="N15" s="32" t="s">
        <v>840</v>
      </c>
    </row>
    <row r="16" spans="1:14" ht="41.4" x14ac:dyDescent="0.3">
      <c r="A16" s="38" t="s">
        <v>782</v>
      </c>
      <c r="B16" s="32" t="s">
        <v>829</v>
      </c>
      <c r="C16" s="32" t="s">
        <v>841</v>
      </c>
      <c r="D16" s="32" t="s">
        <v>842</v>
      </c>
      <c r="E16" s="32">
        <v>2.1</v>
      </c>
      <c r="F16" s="32">
        <v>10</v>
      </c>
      <c r="G16" s="32" t="s">
        <v>843</v>
      </c>
      <c r="H16" s="32" t="s">
        <v>157</v>
      </c>
      <c r="I16" s="32" t="s">
        <v>844</v>
      </c>
      <c r="J16" s="32" t="s">
        <v>845</v>
      </c>
      <c r="K16" s="32"/>
      <c r="L16" s="41"/>
      <c r="M16" s="41"/>
      <c r="N16" s="32" t="s">
        <v>846</v>
      </c>
    </row>
    <row r="17" spans="1:14" ht="41.4" x14ac:dyDescent="0.3">
      <c r="A17" s="38" t="s">
        <v>782</v>
      </c>
      <c r="B17" s="32" t="s">
        <v>829</v>
      </c>
      <c r="C17" s="32" t="s">
        <v>841</v>
      </c>
      <c r="D17" s="32" t="s">
        <v>842</v>
      </c>
      <c r="E17" s="32">
        <v>2.1</v>
      </c>
      <c r="F17" s="32">
        <v>20</v>
      </c>
      <c r="G17" s="32" t="s">
        <v>847</v>
      </c>
      <c r="H17" s="32" t="s">
        <v>157</v>
      </c>
      <c r="I17" s="32" t="s">
        <v>848</v>
      </c>
      <c r="J17" s="32" t="s">
        <v>849</v>
      </c>
      <c r="K17" s="32"/>
      <c r="L17" s="41"/>
      <c r="M17" s="41"/>
      <c r="N17" s="32" t="s">
        <v>850</v>
      </c>
    </row>
    <row r="18" spans="1:14" ht="27.6" x14ac:dyDescent="0.3">
      <c r="A18" s="36" t="s">
        <v>782</v>
      </c>
      <c r="B18" s="24" t="s">
        <v>829</v>
      </c>
      <c r="C18" s="24" t="s">
        <v>841</v>
      </c>
      <c r="D18" s="24" t="s">
        <v>842</v>
      </c>
      <c r="E18" s="24">
        <v>2.1</v>
      </c>
      <c r="F18" s="24">
        <v>30</v>
      </c>
      <c r="G18" s="24" t="s">
        <v>851</v>
      </c>
      <c r="H18" s="24" t="s">
        <v>135</v>
      </c>
      <c r="I18" s="24" t="s">
        <v>849</v>
      </c>
      <c r="J18" s="24" t="s">
        <v>852</v>
      </c>
      <c r="K18" s="24"/>
      <c r="L18" s="39"/>
      <c r="M18" s="39"/>
      <c r="N18" s="24" t="s">
        <v>853</v>
      </c>
    </row>
    <row r="19" spans="1:14" ht="27.6" x14ac:dyDescent="0.3">
      <c r="A19" s="37" t="s">
        <v>782</v>
      </c>
      <c r="B19" s="25" t="s">
        <v>829</v>
      </c>
      <c r="C19" s="25" t="s">
        <v>854</v>
      </c>
      <c r="D19" s="25" t="s">
        <v>855</v>
      </c>
      <c r="E19" s="25">
        <v>3.1</v>
      </c>
      <c r="F19" s="25">
        <v>10</v>
      </c>
      <c r="G19" s="25" t="s">
        <v>856</v>
      </c>
      <c r="H19" s="25" t="s">
        <v>157</v>
      </c>
      <c r="I19" s="25" t="s">
        <v>857</v>
      </c>
      <c r="J19" s="25" t="s">
        <v>858</v>
      </c>
      <c r="K19" s="25"/>
      <c r="L19" s="40"/>
      <c r="M19" s="40"/>
      <c r="N19" s="25" t="s">
        <v>859</v>
      </c>
    </row>
    <row r="20" spans="1:14" ht="27.6" x14ac:dyDescent="0.3">
      <c r="A20" s="92" t="s">
        <v>1210</v>
      </c>
      <c r="B20" s="91" t="s">
        <v>1062</v>
      </c>
      <c r="C20" s="91" t="s">
        <v>1211</v>
      </c>
      <c r="D20" s="91" t="s">
        <v>1212</v>
      </c>
      <c r="E20" s="91">
        <v>1.1000000000000001</v>
      </c>
      <c r="F20" s="91">
        <v>10</v>
      </c>
      <c r="G20" s="91" t="s">
        <v>1213</v>
      </c>
      <c r="H20" s="91" t="s">
        <v>157</v>
      </c>
      <c r="I20" s="91" t="s">
        <v>73</v>
      </c>
      <c r="J20" s="91" t="s">
        <v>1214</v>
      </c>
      <c r="K20" s="91" t="s">
        <v>162</v>
      </c>
      <c r="L20" s="91" t="s">
        <v>131</v>
      </c>
      <c r="M20" s="93">
        <v>14</v>
      </c>
      <c r="N20" s="91" t="s">
        <v>1215</v>
      </c>
    </row>
    <row r="21" spans="1:14" ht="27.6" x14ac:dyDescent="0.3">
      <c r="A21" s="70" t="s">
        <v>1210</v>
      </c>
      <c r="B21" s="68" t="s">
        <v>1062</v>
      </c>
      <c r="C21" s="68" t="s">
        <v>1211</v>
      </c>
      <c r="D21" s="68" t="s">
        <v>1212</v>
      </c>
      <c r="E21" s="68">
        <v>1.1000000000000001</v>
      </c>
      <c r="F21" s="68">
        <v>20</v>
      </c>
      <c r="G21" s="68" t="s">
        <v>1216</v>
      </c>
      <c r="H21" s="68" t="s">
        <v>157</v>
      </c>
      <c r="I21" s="68" t="s">
        <v>73</v>
      </c>
      <c r="J21" s="68" t="s">
        <v>1217</v>
      </c>
      <c r="K21" s="68" t="s">
        <v>162</v>
      </c>
      <c r="L21" s="68" t="s">
        <v>131</v>
      </c>
      <c r="M21" s="72">
        <v>15</v>
      </c>
      <c r="N21" s="68" t="s">
        <v>1218</v>
      </c>
    </row>
    <row r="22" spans="1:14" ht="27.6" x14ac:dyDescent="0.3">
      <c r="A22" s="70" t="s">
        <v>1210</v>
      </c>
      <c r="B22" s="68" t="s">
        <v>1062</v>
      </c>
      <c r="C22" s="68" t="s">
        <v>1211</v>
      </c>
      <c r="D22" s="68" t="s">
        <v>1212</v>
      </c>
      <c r="E22" s="68">
        <v>1.1000000000000001</v>
      </c>
      <c r="F22" s="68">
        <v>30</v>
      </c>
      <c r="G22" s="68" t="s">
        <v>1219</v>
      </c>
      <c r="H22" s="68" t="s">
        <v>135</v>
      </c>
      <c r="I22" s="68" t="s">
        <v>1217</v>
      </c>
      <c r="J22" s="68" t="s">
        <v>1220</v>
      </c>
      <c r="K22" s="68" t="s">
        <v>162</v>
      </c>
      <c r="L22" s="68" t="s">
        <v>124</v>
      </c>
      <c r="M22" s="72">
        <v>16</v>
      </c>
      <c r="N22" s="68" t="s">
        <v>1221</v>
      </c>
    </row>
    <row r="23" spans="1:14" ht="27.6" x14ac:dyDescent="0.3">
      <c r="A23" s="70" t="s">
        <v>1210</v>
      </c>
      <c r="B23" s="68" t="s">
        <v>1062</v>
      </c>
      <c r="C23" s="68" t="s">
        <v>1222</v>
      </c>
      <c r="D23" s="68" t="s">
        <v>1223</v>
      </c>
      <c r="E23" s="68">
        <v>1.2</v>
      </c>
      <c r="F23" s="68">
        <v>40</v>
      </c>
      <c r="G23" s="68" t="s">
        <v>1224</v>
      </c>
      <c r="H23" s="68" t="s">
        <v>157</v>
      </c>
      <c r="I23" s="68" t="s">
        <v>1225</v>
      </c>
      <c r="J23" s="68" t="s">
        <v>1226</v>
      </c>
      <c r="K23" s="68" t="s">
        <v>1227</v>
      </c>
      <c r="L23" s="68" t="s">
        <v>131</v>
      </c>
      <c r="M23" s="72">
        <v>24</v>
      </c>
      <c r="N23" s="68" t="s">
        <v>1228</v>
      </c>
    </row>
    <row r="24" spans="1:14" ht="27.6" x14ac:dyDescent="0.3">
      <c r="A24" s="70" t="s">
        <v>1210</v>
      </c>
      <c r="B24" s="68" t="s">
        <v>1062</v>
      </c>
      <c r="C24" s="68" t="s">
        <v>1229</v>
      </c>
      <c r="D24" s="68" t="s">
        <v>1230</v>
      </c>
      <c r="E24" s="68">
        <v>1.3</v>
      </c>
      <c r="F24" s="68">
        <v>50</v>
      </c>
      <c r="G24" s="68" t="s">
        <v>1231</v>
      </c>
      <c r="H24" s="68" t="s">
        <v>157</v>
      </c>
      <c r="I24" s="68" t="s">
        <v>1232</v>
      </c>
      <c r="J24" s="68" t="s">
        <v>1233</v>
      </c>
      <c r="K24" s="68" t="s">
        <v>1234</v>
      </c>
      <c r="L24" s="68" t="s">
        <v>131</v>
      </c>
      <c r="M24" s="72">
        <v>25</v>
      </c>
      <c r="N24" s="68" t="s">
        <v>1235</v>
      </c>
    </row>
    <row r="25" spans="1:14" ht="27.6" x14ac:dyDescent="0.3">
      <c r="A25" s="70" t="s">
        <v>1210</v>
      </c>
      <c r="B25" s="68" t="s">
        <v>1062</v>
      </c>
      <c r="C25" s="68" t="s">
        <v>1236</v>
      </c>
      <c r="D25" s="68" t="s">
        <v>1237</v>
      </c>
      <c r="E25" s="68">
        <v>1.4</v>
      </c>
      <c r="F25" s="68">
        <v>60</v>
      </c>
      <c r="G25" s="68" t="s">
        <v>1238</v>
      </c>
      <c r="H25" s="68" t="s">
        <v>157</v>
      </c>
      <c r="I25" s="68" t="s">
        <v>1239</v>
      </c>
      <c r="J25" s="68" t="s">
        <v>1240</v>
      </c>
      <c r="K25" s="68" t="s">
        <v>1241</v>
      </c>
      <c r="L25" s="68" t="s">
        <v>131</v>
      </c>
      <c r="M25" s="72">
        <v>23</v>
      </c>
      <c r="N25" s="68" t="s">
        <v>1242</v>
      </c>
    </row>
    <row r="26" spans="1:14" ht="27.6" x14ac:dyDescent="0.3">
      <c r="A26" s="70" t="s">
        <v>1210</v>
      </c>
      <c r="B26" s="68" t="s">
        <v>1062</v>
      </c>
      <c r="C26" s="68" t="s">
        <v>1243</v>
      </c>
      <c r="D26" s="68" t="s">
        <v>1244</v>
      </c>
      <c r="E26" s="68">
        <v>1.5</v>
      </c>
      <c r="F26" s="68">
        <v>70</v>
      </c>
      <c r="G26" s="68" t="s">
        <v>1245</v>
      </c>
      <c r="H26" s="68" t="s">
        <v>157</v>
      </c>
      <c r="I26" s="68" t="s">
        <v>1246</v>
      </c>
      <c r="J26" s="68" t="s">
        <v>1247</v>
      </c>
      <c r="K26" s="68" t="s">
        <v>1248</v>
      </c>
      <c r="L26" s="68" t="s">
        <v>131</v>
      </c>
      <c r="M26" s="72">
        <v>26</v>
      </c>
      <c r="N26" s="68" t="s">
        <v>1249</v>
      </c>
    </row>
    <row r="27" spans="1:14" ht="27.6" x14ac:dyDescent="0.3">
      <c r="A27" s="70" t="s">
        <v>1210</v>
      </c>
      <c r="B27" s="68" t="s">
        <v>1062</v>
      </c>
      <c r="C27" s="68" t="s">
        <v>1250</v>
      </c>
      <c r="D27" s="68" t="s">
        <v>1251</v>
      </c>
      <c r="E27" s="68">
        <v>1.6</v>
      </c>
      <c r="F27" s="68">
        <v>80</v>
      </c>
      <c r="G27" s="68" t="s">
        <v>1252</v>
      </c>
      <c r="H27" s="68" t="s">
        <v>157</v>
      </c>
      <c r="I27" s="68" t="s">
        <v>1253</v>
      </c>
      <c r="J27" s="68" t="s">
        <v>1254</v>
      </c>
      <c r="K27" s="68" t="s">
        <v>1255</v>
      </c>
      <c r="L27" s="68" t="s">
        <v>131</v>
      </c>
      <c r="M27" s="72">
        <v>27</v>
      </c>
      <c r="N27" s="68" t="s">
        <v>1256</v>
      </c>
    </row>
    <row r="28" spans="1:14" ht="27.6" x14ac:dyDescent="0.3">
      <c r="A28" s="70" t="s">
        <v>1210</v>
      </c>
      <c r="B28" s="68" t="s">
        <v>1062</v>
      </c>
      <c r="C28" s="68" t="s">
        <v>1257</v>
      </c>
      <c r="D28" s="68" t="s">
        <v>1258</v>
      </c>
      <c r="E28" s="68">
        <v>2.1</v>
      </c>
      <c r="F28" s="68">
        <v>90</v>
      </c>
      <c r="G28" s="68" t="s">
        <v>1259</v>
      </c>
      <c r="H28" s="68" t="s">
        <v>157</v>
      </c>
      <c r="I28" s="68" t="s">
        <v>1260</v>
      </c>
      <c r="J28" s="68" t="s">
        <v>1261</v>
      </c>
      <c r="K28" s="68" t="s">
        <v>1262</v>
      </c>
      <c r="L28" s="68" t="s">
        <v>131</v>
      </c>
      <c r="M28" s="72">
        <v>35</v>
      </c>
      <c r="N28" s="68" t="s">
        <v>1263</v>
      </c>
    </row>
    <row r="29" spans="1:14" ht="27.6" x14ac:dyDescent="0.3">
      <c r="A29" s="70" t="s">
        <v>1210</v>
      </c>
      <c r="B29" s="68" t="s">
        <v>1062</v>
      </c>
      <c r="C29" s="68" t="s">
        <v>1264</v>
      </c>
      <c r="D29" s="68" t="s">
        <v>1265</v>
      </c>
      <c r="E29" s="68">
        <v>2.2000000000000002</v>
      </c>
      <c r="F29" s="68">
        <v>100</v>
      </c>
      <c r="G29" s="68" t="s">
        <v>1266</v>
      </c>
      <c r="H29" s="68" t="s">
        <v>157</v>
      </c>
      <c r="I29" s="68" t="s">
        <v>1267</v>
      </c>
      <c r="J29" s="68" t="s">
        <v>1268</v>
      </c>
      <c r="K29" s="68"/>
      <c r="L29" s="68" t="s">
        <v>131</v>
      </c>
      <c r="M29" s="72">
        <v>29</v>
      </c>
      <c r="N29" s="68" t="s">
        <v>1269</v>
      </c>
    </row>
    <row r="30" spans="1:14" ht="27.6" x14ac:dyDescent="0.3">
      <c r="A30" s="70" t="s">
        <v>1210</v>
      </c>
      <c r="B30" s="68" t="s">
        <v>1062</v>
      </c>
      <c r="C30" s="68" t="s">
        <v>1270</v>
      </c>
      <c r="D30" s="68" t="s">
        <v>1271</v>
      </c>
      <c r="E30" s="68">
        <v>2.2999999999999998</v>
      </c>
      <c r="F30" s="68">
        <v>110</v>
      </c>
      <c r="G30" s="68" t="s">
        <v>1272</v>
      </c>
      <c r="H30" s="68" t="s">
        <v>157</v>
      </c>
      <c r="I30" s="68" t="s">
        <v>1273</v>
      </c>
      <c r="J30" s="68" t="s">
        <v>1274</v>
      </c>
      <c r="K30" s="68"/>
      <c r="L30" s="68" t="s">
        <v>131</v>
      </c>
      <c r="M30" s="72">
        <v>30</v>
      </c>
      <c r="N30" s="68" t="s">
        <v>1275</v>
      </c>
    </row>
    <row r="31" spans="1:14" ht="27.6" x14ac:dyDescent="0.3">
      <c r="A31" s="70" t="s">
        <v>1210</v>
      </c>
      <c r="B31" s="68" t="s">
        <v>1062</v>
      </c>
      <c r="C31" s="68" t="s">
        <v>1276</v>
      </c>
      <c r="D31" s="68" t="s">
        <v>1277</v>
      </c>
      <c r="E31" s="68">
        <v>2.4</v>
      </c>
      <c r="F31" s="68">
        <v>120</v>
      </c>
      <c r="G31" s="68" t="s">
        <v>1278</v>
      </c>
      <c r="H31" s="68" t="s">
        <v>157</v>
      </c>
      <c r="I31" s="68" t="s">
        <v>1279</v>
      </c>
      <c r="J31" s="68" t="s">
        <v>1280</v>
      </c>
      <c r="K31" s="68"/>
      <c r="L31" s="68" t="s">
        <v>131</v>
      </c>
      <c r="M31" s="72">
        <v>32</v>
      </c>
      <c r="N31" s="68" t="s">
        <v>1281</v>
      </c>
    </row>
    <row r="32" spans="1:14" ht="27.6" x14ac:dyDescent="0.3">
      <c r="A32" s="70" t="s">
        <v>1210</v>
      </c>
      <c r="B32" s="68" t="s">
        <v>1062</v>
      </c>
      <c r="C32" s="68" t="s">
        <v>1282</v>
      </c>
      <c r="D32" s="68" t="s">
        <v>1283</v>
      </c>
      <c r="E32" s="68">
        <v>2.5</v>
      </c>
      <c r="F32" s="68">
        <v>130</v>
      </c>
      <c r="G32" s="68" t="s">
        <v>1284</v>
      </c>
      <c r="H32" s="68" t="s">
        <v>157</v>
      </c>
      <c r="I32" s="68" t="s">
        <v>1280</v>
      </c>
      <c r="J32" s="68" t="s">
        <v>1285</v>
      </c>
      <c r="K32" s="68" t="s">
        <v>1286</v>
      </c>
      <c r="L32" s="68" t="s">
        <v>131</v>
      </c>
      <c r="M32" s="72">
        <v>33</v>
      </c>
      <c r="N32" s="68" t="s">
        <v>1287</v>
      </c>
    </row>
    <row r="33" spans="1:14" ht="27.6" x14ac:dyDescent="0.3">
      <c r="A33" s="70" t="s">
        <v>1210</v>
      </c>
      <c r="B33" s="68" t="s">
        <v>1062</v>
      </c>
      <c r="C33" s="68" t="s">
        <v>1288</v>
      </c>
      <c r="D33" s="68" t="s">
        <v>1289</v>
      </c>
      <c r="E33" s="68">
        <v>2.6</v>
      </c>
      <c r="F33" s="68">
        <v>140</v>
      </c>
      <c r="G33" s="68" t="s">
        <v>1290</v>
      </c>
      <c r="H33" s="68" t="s">
        <v>135</v>
      </c>
      <c r="I33" s="68" t="s">
        <v>1291</v>
      </c>
      <c r="J33" s="68" t="s">
        <v>1292</v>
      </c>
      <c r="K33" s="68"/>
      <c r="L33" s="68" t="s">
        <v>124</v>
      </c>
      <c r="M33" s="72">
        <v>34</v>
      </c>
      <c r="N33" s="68" t="s">
        <v>1293</v>
      </c>
    </row>
    <row r="34" spans="1:14" ht="27.6" x14ac:dyDescent="0.3">
      <c r="A34" s="70" t="s">
        <v>1210</v>
      </c>
      <c r="B34" s="68" t="s">
        <v>1062</v>
      </c>
      <c r="C34" s="68" t="s">
        <v>1294</v>
      </c>
      <c r="D34" s="68" t="s">
        <v>1295</v>
      </c>
      <c r="E34" s="68">
        <v>3.1</v>
      </c>
      <c r="F34" s="68">
        <v>150</v>
      </c>
      <c r="G34" s="68" t="s">
        <v>1296</v>
      </c>
      <c r="H34" s="68" t="s">
        <v>157</v>
      </c>
      <c r="I34" s="68" t="s">
        <v>1297</v>
      </c>
      <c r="J34" s="68" t="s">
        <v>1298</v>
      </c>
      <c r="K34" s="68"/>
      <c r="L34" s="68" t="s">
        <v>131</v>
      </c>
      <c r="M34" s="72">
        <v>36</v>
      </c>
      <c r="N34" s="68" t="s">
        <v>1299</v>
      </c>
    </row>
    <row r="35" spans="1:14" ht="27.6" x14ac:dyDescent="0.3">
      <c r="A35" s="70" t="s">
        <v>1210</v>
      </c>
      <c r="B35" s="68" t="s">
        <v>1062</v>
      </c>
      <c r="C35" s="68" t="s">
        <v>1294</v>
      </c>
      <c r="D35" s="68" t="s">
        <v>1295</v>
      </c>
      <c r="E35" s="68">
        <v>3.1</v>
      </c>
      <c r="F35" s="68">
        <v>160</v>
      </c>
      <c r="G35" s="68" t="s">
        <v>1300</v>
      </c>
      <c r="H35" s="68" t="s">
        <v>157</v>
      </c>
      <c r="I35" s="68" t="s">
        <v>1301</v>
      </c>
      <c r="J35" s="68" t="s">
        <v>1302</v>
      </c>
      <c r="K35" s="68"/>
      <c r="L35" s="68" t="s">
        <v>131</v>
      </c>
      <c r="M35" s="72">
        <v>36</v>
      </c>
      <c r="N35" s="68" t="s">
        <v>1303</v>
      </c>
    </row>
    <row r="36" spans="1:14" ht="27.6" x14ac:dyDescent="0.3">
      <c r="A36" s="70" t="s">
        <v>1210</v>
      </c>
      <c r="B36" s="68" t="s">
        <v>1062</v>
      </c>
      <c r="C36" s="68" t="s">
        <v>1304</v>
      </c>
      <c r="D36" s="68" t="s">
        <v>1305</v>
      </c>
      <c r="E36" s="68">
        <v>3.2</v>
      </c>
      <c r="F36" s="68">
        <v>170</v>
      </c>
      <c r="G36" s="68" t="s">
        <v>1306</v>
      </c>
      <c r="H36" s="68" t="s">
        <v>135</v>
      </c>
      <c r="I36" s="68" t="s">
        <v>1302</v>
      </c>
      <c r="J36" s="68" t="s">
        <v>1307</v>
      </c>
      <c r="K36" s="68"/>
      <c r="L36" s="68" t="s">
        <v>124</v>
      </c>
      <c r="M36" s="72">
        <v>37</v>
      </c>
      <c r="N36" s="68" t="s">
        <v>1308</v>
      </c>
    </row>
    <row r="37" spans="1:14" ht="27.6" x14ac:dyDescent="0.3">
      <c r="A37" s="70" t="s">
        <v>1210</v>
      </c>
      <c r="B37" s="68" t="s">
        <v>1062</v>
      </c>
      <c r="C37" s="68" t="s">
        <v>1309</v>
      </c>
      <c r="D37" s="68" t="s">
        <v>1310</v>
      </c>
      <c r="E37" s="68">
        <v>3.3</v>
      </c>
      <c r="F37" s="68">
        <v>180</v>
      </c>
      <c r="G37" s="68" t="s">
        <v>1311</v>
      </c>
      <c r="H37" s="68" t="s">
        <v>135</v>
      </c>
      <c r="I37" s="68" t="s">
        <v>1312</v>
      </c>
      <c r="J37" s="68" t="s">
        <v>1313</v>
      </c>
      <c r="K37" s="68"/>
      <c r="L37" s="68" t="s">
        <v>124</v>
      </c>
      <c r="M37" s="72">
        <v>38</v>
      </c>
      <c r="N37" s="68" t="s">
        <v>1314</v>
      </c>
    </row>
    <row r="38" spans="1:14" ht="27.6" x14ac:dyDescent="0.3">
      <c r="A38" s="70" t="s">
        <v>1210</v>
      </c>
      <c r="B38" s="68" t="s">
        <v>1062</v>
      </c>
      <c r="C38" s="68" t="s">
        <v>1315</v>
      </c>
      <c r="D38" s="68" t="s">
        <v>1316</v>
      </c>
      <c r="E38" s="68">
        <v>3.4</v>
      </c>
      <c r="F38" s="68">
        <v>190</v>
      </c>
      <c r="G38" s="68" t="s">
        <v>1317</v>
      </c>
      <c r="H38" s="68" t="s">
        <v>135</v>
      </c>
      <c r="I38" s="68" t="s">
        <v>1313</v>
      </c>
      <c r="J38" s="68" t="s">
        <v>1318</v>
      </c>
      <c r="K38" s="68"/>
      <c r="L38" s="68" t="s">
        <v>124</v>
      </c>
      <c r="M38" s="72">
        <v>39</v>
      </c>
      <c r="N38" s="68" t="s">
        <v>1319</v>
      </c>
    </row>
    <row r="39" spans="1:14" ht="27.6" x14ac:dyDescent="0.3">
      <c r="A39" s="70" t="s">
        <v>1210</v>
      </c>
      <c r="B39" s="68" t="s">
        <v>1062</v>
      </c>
      <c r="C39" s="68" t="s">
        <v>1320</v>
      </c>
      <c r="D39" s="68" t="s">
        <v>1321</v>
      </c>
      <c r="E39" s="68">
        <v>4.0999999999999996</v>
      </c>
      <c r="F39" s="68">
        <v>200</v>
      </c>
      <c r="G39" s="68" t="s">
        <v>1322</v>
      </c>
      <c r="H39" s="68" t="s">
        <v>135</v>
      </c>
      <c r="I39" s="68" t="s">
        <v>1318</v>
      </c>
      <c r="J39" s="68" t="s">
        <v>1323</v>
      </c>
      <c r="K39" s="68"/>
      <c r="L39" s="68" t="s">
        <v>289</v>
      </c>
      <c r="M39" s="72">
        <v>41</v>
      </c>
      <c r="N39" s="68" t="s">
        <v>1324</v>
      </c>
    </row>
    <row r="40" spans="1:14" ht="41.4" x14ac:dyDescent="0.3">
      <c r="A40" s="70" t="s">
        <v>1619</v>
      </c>
      <c r="B40" s="68" t="s">
        <v>1864</v>
      </c>
      <c r="C40" s="68" t="s">
        <v>1865</v>
      </c>
      <c r="D40" s="68" t="s">
        <v>384</v>
      </c>
      <c r="E40" s="68">
        <v>1.1000000000000001</v>
      </c>
      <c r="F40" s="68">
        <v>10</v>
      </c>
      <c r="G40" s="68" t="s">
        <v>1866</v>
      </c>
      <c r="H40" s="68" t="s">
        <v>157</v>
      </c>
      <c r="I40" s="68" t="s">
        <v>73</v>
      </c>
      <c r="J40" s="68" t="s">
        <v>1214</v>
      </c>
      <c r="K40" s="68" t="s">
        <v>162</v>
      </c>
      <c r="L40" s="68" t="s">
        <v>131</v>
      </c>
      <c r="M40" s="72">
        <v>15</v>
      </c>
      <c r="N40" s="68" t="s">
        <v>1867</v>
      </c>
    </row>
    <row r="41" spans="1:14" ht="41.4" x14ac:dyDescent="0.3">
      <c r="A41" s="70" t="s">
        <v>1619</v>
      </c>
      <c r="B41" s="68" t="s">
        <v>1864</v>
      </c>
      <c r="C41" s="68" t="s">
        <v>1865</v>
      </c>
      <c r="D41" s="68" t="s">
        <v>384</v>
      </c>
      <c r="E41" s="68">
        <v>1.1000000000000001</v>
      </c>
      <c r="F41" s="68">
        <v>20</v>
      </c>
      <c r="G41" s="68" t="s">
        <v>1868</v>
      </c>
      <c r="H41" s="68" t="s">
        <v>157</v>
      </c>
      <c r="I41" s="68" t="s">
        <v>1869</v>
      </c>
      <c r="J41" s="68" t="s">
        <v>1217</v>
      </c>
      <c r="K41" s="68" t="s">
        <v>162</v>
      </c>
      <c r="L41" s="68" t="s">
        <v>131</v>
      </c>
      <c r="M41" s="72">
        <v>16</v>
      </c>
      <c r="N41" s="68" t="s">
        <v>1870</v>
      </c>
    </row>
    <row r="42" spans="1:14" ht="41.4" x14ac:dyDescent="0.3">
      <c r="A42" s="70" t="s">
        <v>1619</v>
      </c>
      <c r="B42" s="68" t="s">
        <v>1864</v>
      </c>
      <c r="C42" s="68" t="s">
        <v>1865</v>
      </c>
      <c r="D42" s="68" t="s">
        <v>384</v>
      </c>
      <c r="E42" s="68">
        <v>1.1000000000000001</v>
      </c>
      <c r="F42" s="68">
        <v>30</v>
      </c>
      <c r="G42" s="68" t="s">
        <v>1871</v>
      </c>
      <c r="H42" s="68" t="s">
        <v>135</v>
      </c>
      <c r="I42" s="68" t="s">
        <v>1217</v>
      </c>
      <c r="J42" s="68" t="s">
        <v>1220</v>
      </c>
      <c r="K42" s="68" t="s">
        <v>162</v>
      </c>
      <c r="L42" s="68" t="s">
        <v>124</v>
      </c>
      <c r="M42" s="72">
        <v>17</v>
      </c>
      <c r="N42" s="68" t="s">
        <v>1872</v>
      </c>
    </row>
    <row r="43" spans="1:14" ht="41.4" x14ac:dyDescent="0.3">
      <c r="A43" s="70" t="s">
        <v>1619</v>
      </c>
      <c r="B43" s="68" t="s">
        <v>1864</v>
      </c>
      <c r="C43" s="68" t="s">
        <v>1873</v>
      </c>
      <c r="D43" s="68" t="s">
        <v>1874</v>
      </c>
      <c r="E43" s="68">
        <v>1.2</v>
      </c>
      <c r="F43" s="68">
        <v>40</v>
      </c>
      <c r="G43" s="68" t="s">
        <v>1875</v>
      </c>
      <c r="H43" s="68" t="s">
        <v>157</v>
      </c>
      <c r="I43" s="68" t="s">
        <v>1876</v>
      </c>
      <c r="J43" s="68" t="s">
        <v>1877</v>
      </c>
      <c r="K43" s="68" t="s">
        <v>1878</v>
      </c>
      <c r="L43" s="68" t="s">
        <v>131</v>
      </c>
      <c r="M43" s="72">
        <v>18</v>
      </c>
      <c r="N43" s="68" t="s">
        <v>1879</v>
      </c>
    </row>
    <row r="44" spans="1:14" ht="41.4" x14ac:dyDescent="0.3">
      <c r="A44" s="70" t="s">
        <v>1619</v>
      </c>
      <c r="B44" s="68" t="s">
        <v>1864</v>
      </c>
      <c r="C44" s="68" t="s">
        <v>1873</v>
      </c>
      <c r="D44" s="68" t="s">
        <v>1874</v>
      </c>
      <c r="E44" s="68">
        <v>1.2</v>
      </c>
      <c r="F44" s="68">
        <v>50</v>
      </c>
      <c r="G44" s="68" t="s">
        <v>1880</v>
      </c>
      <c r="H44" s="68" t="s">
        <v>157</v>
      </c>
      <c r="I44" s="68" t="s">
        <v>1877</v>
      </c>
      <c r="J44" s="68" t="s">
        <v>1881</v>
      </c>
      <c r="K44" s="68" t="s">
        <v>1878</v>
      </c>
      <c r="L44" s="68" t="s">
        <v>131</v>
      </c>
      <c r="M44" s="72">
        <v>18</v>
      </c>
      <c r="N44" s="68" t="s">
        <v>1870</v>
      </c>
    </row>
    <row r="45" spans="1:14" ht="41.4" x14ac:dyDescent="0.3">
      <c r="A45" s="70" t="s">
        <v>1619</v>
      </c>
      <c r="B45" s="68" t="s">
        <v>1864</v>
      </c>
      <c r="C45" s="68" t="s">
        <v>1882</v>
      </c>
      <c r="D45" s="68" t="s">
        <v>1874</v>
      </c>
      <c r="E45" s="68">
        <v>1.3</v>
      </c>
      <c r="F45" s="68">
        <v>60</v>
      </c>
      <c r="G45" s="68" t="s">
        <v>1883</v>
      </c>
      <c r="H45" s="68" t="s">
        <v>157</v>
      </c>
      <c r="I45" s="68" t="s">
        <v>1884</v>
      </c>
      <c r="J45" s="68" t="s">
        <v>1885</v>
      </c>
      <c r="K45" s="68" t="s">
        <v>172</v>
      </c>
      <c r="L45" s="68" t="s">
        <v>131</v>
      </c>
      <c r="M45" s="72">
        <v>18</v>
      </c>
      <c r="N45" s="68" t="s">
        <v>1870</v>
      </c>
    </row>
    <row r="46" spans="1:14" ht="41.4" x14ac:dyDescent="0.3">
      <c r="A46" s="70" t="s">
        <v>1619</v>
      </c>
      <c r="B46" s="68" t="s">
        <v>1864</v>
      </c>
      <c r="C46" s="68" t="s">
        <v>1882</v>
      </c>
      <c r="D46" s="68" t="s">
        <v>1874</v>
      </c>
      <c r="E46" s="68">
        <v>1.3</v>
      </c>
      <c r="F46" s="68">
        <v>70</v>
      </c>
      <c r="G46" s="68" t="s">
        <v>1886</v>
      </c>
      <c r="H46" s="68" t="s">
        <v>135</v>
      </c>
      <c r="I46" s="68" t="s">
        <v>1885</v>
      </c>
      <c r="J46" s="68" t="s">
        <v>1887</v>
      </c>
      <c r="K46" s="68" t="s">
        <v>1888</v>
      </c>
      <c r="L46" s="68" t="s">
        <v>124</v>
      </c>
      <c r="M46" s="72">
        <v>17</v>
      </c>
      <c r="N46" s="68" t="s">
        <v>1872</v>
      </c>
    </row>
    <row r="47" spans="1:14" ht="41.4" x14ac:dyDescent="0.3">
      <c r="A47" s="70" t="s">
        <v>1619</v>
      </c>
      <c r="B47" s="68" t="s">
        <v>1864</v>
      </c>
      <c r="C47" s="68" t="s">
        <v>1889</v>
      </c>
      <c r="D47" s="68" t="s">
        <v>1890</v>
      </c>
      <c r="E47" s="68">
        <v>2.1</v>
      </c>
      <c r="F47" s="68">
        <v>80</v>
      </c>
      <c r="G47" s="68" t="s">
        <v>1891</v>
      </c>
      <c r="H47" s="68" t="s">
        <v>157</v>
      </c>
      <c r="I47" s="68" t="s">
        <v>1892</v>
      </c>
      <c r="J47" s="68" t="s">
        <v>1893</v>
      </c>
      <c r="K47" s="68" t="s">
        <v>1894</v>
      </c>
      <c r="L47" s="68" t="s">
        <v>131</v>
      </c>
      <c r="M47" s="72">
        <v>19</v>
      </c>
      <c r="N47" s="68" t="s">
        <v>1895</v>
      </c>
    </row>
    <row r="48" spans="1:14" ht="41.4" x14ac:dyDescent="0.3">
      <c r="A48" s="70" t="s">
        <v>1619</v>
      </c>
      <c r="B48" s="68" t="s">
        <v>1864</v>
      </c>
      <c r="C48" s="68" t="s">
        <v>1896</v>
      </c>
      <c r="D48" s="68" t="s">
        <v>1890</v>
      </c>
      <c r="E48" s="68">
        <v>2.2000000000000002</v>
      </c>
      <c r="F48" s="68">
        <v>90</v>
      </c>
      <c r="G48" s="68" t="s">
        <v>1897</v>
      </c>
      <c r="H48" s="68" t="s">
        <v>157</v>
      </c>
      <c r="I48" s="68" t="s">
        <v>1898</v>
      </c>
      <c r="J48" s="68" t="s">
        <v>1899</v>
      </c>
      <c r="K48" s="68" t="s">
        <v>1900</v>
      </c>
      <c r="L48" s="68" t="s">
        <v>131</v>
      </c>
      <c r="M48" s="72">
        <v>19</v>
      </c>
      <c r="N48" s="68" t="s">
        <v>1901</v>
      </c>
    </row>
    <row r="49" spans="1:14" ht="41.4" x14ac:dyDescent="0.3">
      <c r="A49" s="70" t="s">
        <v>1619</v>
      </c>
      <c r="B49" s="68" t="s">
        <v>1864</v>
      </c>
      <c r="C49" s="68" t="s">
        <v>1902</v>
      </c>
      <c r="D49" s="68" t="s">
        <v>1890</v>
      </c>
      <c r="E49" s="68">
        <v>2.2999999999999998</v>
      </c>
      <c r="F49" s="68">
        <v>100</v>
      </c>
      <c r="G49" s="68" t="s">
        <v>1903</v>
      </c>
      <c r="H49" s="68" t="s">
        <v>157</v>
      </c>
      <c r="I49" s="68" t="s">
        <v>1904</v>
      </c>
      <c r="J49" s="68" t="s">
        <v>1905</v>
      </c>
      <c r="K49" s="68" t="s">
        <v>1906</v>
      </c>
      <c r="L49" s="68" t="s">
        <v>131</v>
      </c>
      <c r="M49" s="72">
        <v>19</v>
      </c>
      <c r="N49" s="68" t="s">
        <v>1907</v>
      </c>
    </row>
    <row r="50" spans="1:14" ht="41.4" x14ac:dyDescent="0.3">
      <c r="A50" s="70" t="s">
        <v>1619</v>
      </c>
      <c r="B50" s="68" t="s">
        <v>1864</v>
      </c>
      <c r="C50" s="68" t="s">
        <v>1908</v>
      </c>
      <c r="D50" s="68" t="s">
        <v>1909</v>
      </c>
      <c r="E50" s="68">
        <v>2.4</v>
      </c>
      <c r="F50" s="68">
        <v>110</v>
      </c>
      <c r="G50" s="68" t="s">
        <v>1910</v>
      </c>
      <c r="H50" s="68" t="s">
        <v>157</v>
      </c>
      <c r="I50" s="68" t="s">
        <v>1527</v>
      </c>
      <c r="J50" s="68" t="s">
        <v>1911</v>
      </c>
      <c r="K50" s="68" t="s">
        <v>1912</v>
      </c>
      <c r="L50" s="68" t="s">
        <v>131</v>
      </c>
      <c r="M50" s="72">
        <v>19</v>
      </c>
      <c r="N50" s="68" t="s">
        <v>1913</v>
      </c>
    </row>
    <row r="51" spans="1:14" ht="41.4" x14ac:dyDescent="0.3">
      <c r="A51" s="70" t="s">
        <v>1619</v>
      </c>
      <c r="B51" s="68" t="s">
        <v>1864</v>
      </c>
      <c r="C51" s="68" t="s">
        <v>1914</v>
      </c>
      <c r="D51" s="68" t="s">
        <v>1915</v>
      </c>
      <c r="E51" s="68">
        <v>2.5</v>
      </c>
      <c r="F51" s="68">
        <v>120</v>
      </c>
      <c r="G51" s="68" t="s">
        <v>1916</v>
      </c>
      <c r="H51" s="68" t="s">
        <v>157</v>
      </c>
      <c r="I51" s="68" t="s">
        <v>1917</v>
      </c>
      <c r="J51" s="68" t="s">
        <v>1918</v>
      </c>
      <c r="K51" s="68" t="s">
        <v>1919</v>
      </c>
      <c r="L51" s="68" t="s">
        <v>131</v>
      </c>
      <c r="M51" s="72">
        <v>19</v>
      </c>
      <c r="N51" s="68" t="s">
        <v>1920</v>
      </c>
    </row>
    <row r="52" spans="1:14" ht="41.4" x14ac:dyDescent="0.3">
      <c r="A52" s="70" t="s">
        <v>1619</v>
      </c>
      <c r="B52" s="68" t="s">
        <v>1864</v>
      </c>
      <c r="C52" s="68" t="s">
        <v>1921</v>
      </c>
      <c r="D52" s="68" t="s">
        <v>1244</v>
      </c>
      <c r="E52" s="68">
        <v>2.6</v>
      </c>
      <c r="F52" s="68">
        <v>130</v>
      </c>
      <c r="G52" s="68" t="s">
        <v>1922</v>
      </c>
      <c r="H52" s="68" t="s">
        <v>157</v>
      </c>
      <c r="I52" s="68" t="s">
        <v>1923</v>
      </c>
      <c r="J52" s="68" t="s">
        <v>1924</v>
      </c>
      <c r="K52" s="68" t="s">
        <v>1925</v>
      </c>
      <c r="L52" s="68" t="s">
        <v>131</v>
      </c>
      <c r="M52" s="72">
        <v>19</v>
      </c>
      <c r="N52" s="68" t="s">
        <v>1926</v>
      </c>
    </row>
    <row r="53" spans="1:14" ht="41.4" x14ac:dyDescent="0.3">
      <c r="A53" s="70" t="s">
        <v>1619</v>
      </c>
      <c r="B53" s="68" t="s">
        <v>1864</v>
      </c>
      <c r="C53" s="68" t="s">
        <v>1921</v>
      </c>
      <c r="D53" s="68" t="s">
        <v>1244</v>
      </c>
      <c r="E53" s="68">
        <v>2.6</v>
      </c>
      <c r="F53" s="68">
        <v>140</v>
      </c>
      <c r="G53" s="68" t="s">
        <v>1927</v>
      </c>
      <c r="H53" s="68" t="s">
        <v>157</v>
      </c>
      <c r="I53" s="68" t="s">
        <v>1924</v>
      </c>
      <c r="J53" s="68" t="s">
        <v>1928</v>
      </c>
      <c r="K53" s="68" t="s">
        <v>1925</v>
      </c>
      <c r="L53" s="68" t="s">
        <v>131</v>
      </c>
      <c r="M53" s="72">
        <v>20</v>
      </c>
      <c r="N53" s="68" t="s">
        <v>1929</v>
      </c>
    </row>
    <row r="54" spans="1:14" ht="41.4" x14ac:dyDescent="0.3">
      <c r="A54" s="70" t="s">
        <v>1619</v>
      </c>
      <c r="B54" s="68" t="s">
        <v>1864</v>
      </c>
      <c r="C54" s="68" t="s">
        <v>1930</v>
      </c>
      <c r="D54" s="68" t="s">
        <v>251</v>
      </c>
      <c r="E54" s="68">
        <v>2.7</v>
      </c>
      <c r="F54" s="68">
        <v>150</v>
      </c>
      <c r="G54" s="68" t="s">
        <v>1931</v>
      </c>
      <c r="H54" s="68" t="s">
        <v>157</v>
      </c>
      <c r="I54" s="68" t="s">
        <v>1928</v>
      </c>
      <c r="J54" s="68" t="s">
        <v>1932</v>
      </c>
      <c r="K54" s="68"/>
      <c r="L54" s="68" t="s">
        <v>251</v>
      </c>
      <c r="M54" s="72">
        <v>21</v>
      </c>
      <c r="N54" s="68" t="s">
        <v>1933</v>
      </c>
    </row>
    <row r="55" spans="1:14" ht="41.4" x14ac:dyDescent="0.3">
      <c r="A55" s="70" t="s">
        <v>1619</v>
      </c>
      <c r="B55" s="68" t="s">
        <v>1864</v>
      </c>
      <c r="C55" s="68" t="s">
        <v>1934</v>
      </c>
      <c r="D55" s="68" t="s">
        <v>1935</v>
      </c>
      <c r="E55" s="68">
        <v>2.8</v>
      </c>
      <c r="F55" s="68">
        <v>160</v>
      </c>
      <c r="G55" s="68" t="s">
        <v>1936</v>
      </c>
      <c r="H55" s="68" t="s">
        <v>135</v>
      </c>
      <c r="I55" s="68" t="s">
        <v>1932</v>
      </c>
      <c r="J55" s="68" t="s">
        <v>1937</v>
      </c>
      <c r="K55" s="68" t="s">
        <v>1938</v>
      </c>
      <c r="L55" s="68" t="s">
        <v>124</v>
      </c>
      <c r="M55" s="72">
        <v>22</v>
      </c>
      <c r="N55" s="68" t="s">
        <v>1939</v>
      </c>
    </row>
    <row r="56" spans="1:14" ht="41.4" x14ac:dyDescent="0.3">
      <c r="A56" s="70" t="s">
        <v>1619</v>
      </c>
      <c r="B56" s="68" t="s">
        <v>1864</v>
      </c>
      <c r="C56" s="68" t="s">
        <v>1940</v>
      </c>
      <c r="D56" s="68" t="s">
        <v>1941</v>
      </c>
      <c r="E56" s="68">
        <v>3.1</v>
      </c>
      <c r="F56" s="68">
        <v>170</v>
      </c>
      <c r="G56" s="68" t="s">
        <v>1942</v>
      </c>
      <c r="H56" s="68" t="s">
        <v>157</v>
      </c>
      <c r="I56" s="68" t="s">
        <v>1480</v>
      </c>
      <c r="J56" s="68" t="s">
        <v>1943</v>
      </c>
      <c r="K56" s="68" t="s">
        <v>1944</v>
      </c>
      <c r="L56" s="68" t="s">
        <v>131</v>
      </c>
      <c r="M56" s="72">
        <v>23</v>
      </c>
      <c r="N56" s="68" t="s">
        <v>1945</v>
      </c>
    </row>
    <row r="57" spans="1:14" ht="41.4" x14ac:dyDescent="0.3">
      <c r="A57" s="70" t="s">
        <v>1619</v>
      </c>
      <c r="B57" s="68" t="s">
        <v>1864</v>
      </c>
      <c r="C57" s="68" t="s">
        <v>1940</v>
      </c>
      <c r="D57" s="68" t="s">
        <v>1941</v>
      </c>
      <c r="E57" s="68">
        <v>3.1</v>
      </c>
      <c r="F57" s="68">
        <v>180</v>
      </c>
      <c r="G57" s="68" t="s">
        <v>1946</v>
      </c>
      <c r="H57" s="68" t="s">
        <v>157</v>
      </c>
      <c r="I57" s="68" t="s">
        <v>1947</v>
      </c>
      <c r="J57" s="68" t="s">
        <v>1948</v>
      </c>
      <c r="K57" s="68" t="s">
        <v>1949</v>
      </c>
      <c r="L57" s="68" t="s">
        <v>131</v>
      </c>
      <c r="M57" s="72">
        <v>23</v>
      </c>
      <c r="N57" s="68" t="s">
        <v>1950</v>
      </c>
    </row>
    <row r="58" spans="1:14" ht="41.4" x14ac:dyDescent="0.3">
      <c r="A58" s="70" t="s">
        <v>1619</v>
      </c>
      <c r="B58" s="68" t="s">
        <v>1864</v>
      </c>
      <c r="C58" s="68" t="s">
        <v>1940</v>
      </c>
      <c r="D58" s="68" t="s">
        <v>1951</v>
      </c>
      <c r="E58" s="68">
        <v>3.2</v>
      </c>
      <c r="F58" s="68">
        <v>190</v>
      </c>
      <c r="G58" s="68" t="s">
        <v>1952</v>
      </c>
      <c r="H58" s="68" t="s">
        <v>157</v>
      </c>
      <c r="I58" s="68" t="s">
        <v>1953</v>
      </c>
      <c r="J58" s="68" t="s">
        <v>1954</v>
      </c>
      <c r="K58" s="68" t="s">
        <v>1955</v>
      </c>
      <c r="L58" s="68" t="s">
        <v>131</v>
      </c>
      <c r="M58" s="72">
        <v>23</v>
      </c>
      <c r="N58" s="68" t="s">
        <v>1956</v>
      </c>
    </row>
    <row r="59" spans="1:14" ht="41.4" x14ac:dyDescent="0.3">
      <c r="A59" s="70" t="s">
        <v>1619</v>
      </c>
      <c r="B59" s="68" t="s">
        <v>1864</v>
      </c>
      <c r="C59" s="68" t="s">
        <v>1957</v>
      </c>
      <c r="D59" s="68" t="s">
        <v>1958</v>
      </c>
      <c r="E59" s="68">
        <v>3.3</v>
      </c>
      <c r="F59" s="68">
        <v>200</v>
      </c>
      <c r="G59" s="68" t="s">
        <v>1959</v>
      </c>
      <c r="H59" s="68" t="s">
        <v>157</v>
      </c>
      <c r="I59" s="68" t="s">
        <v>1960</v>
      </c>
      <c r="J59" s="68" t="s">
        <v>1961</v>
      </c>
      <c r="K59" s="68" t="s">
        <v>1962</v>
      </c>
      <c r="L59" s="68" t="s">
        <v>131</v>
      </c>
      <c r="M59" s="72">
        <v>23</v>
      </c>
      <c r="N59" s="68" t="s">
        <v>1963</v>
      </c>
    </row>
    <row r="60" spans="1:14" ht="41.4" x14ac:dyDescent="0.3">
      <c r="A60" s="70" t="s">
        <v>1619</v>
      </c>
      <c r="B60" s="68" t="s">
        <v>1864</v>
      </c>
      <c r="C60" s="68" t="s">
        <v>1964</v>
      </c>
      <c r="D60" s="68" t="s">
        <v>1965</v>
      </c>
      <c r="E60" s="68">
        <v>3.4</v>
      </c>
      <c r="F60" s="68">
        <v>210</v>
      </c>
      <c r="G60" s="68" t="s">
        <v>1966</v>
      </c>
      <c r="H60" s="68" t="s">
        <v>157</v>
      </c>
      <c r="I60" s="68" t="s">
        <v>1967</v>
      </c>
      <c r="J60" s="68" t="s">
        <v>1968</v>
      </c>
      <c r="K60" s="68" t="s">
        <v>1969</v>
      </c>
      <c r="L60" s="68" t="s">
        <v>131</v>
      </c>
      <c r="M60" s="72">
        <v>23</v>
      </c>
      <c r="N60" s="68" t="s">
        <v>1970</v>
      </c>
    </row>
    <row r="61" spans="1:14" ht="41.4" x14ac:dyDescent="0.3">
      <c r="A61" s="70" t="s">
        <v>1619</v>
      </c>
      <c r="B61" s="68" t="s">
        <v>1864</v>
      </c>
      <c r="C61" s="68" t="s">
        <v>1971</v>
      </c>
      <c r="D61" s="68" t="s">
        <v>1972</v>
      </c>
      <c r="E61" s="68">
        <v>3.5</v>
      </c>
      <c r="F61" s="68">
        <v>220</v>
      </c>
      <c r="G61" s="68" t="s">
        <v>1973</v>
      </c>
      <c r="H61" s="68" t="s">
        <v>157</v>
      </c>
      <c r="I61" s="68" t="s">
        <v>1974</v>
      </c>
      <c r="J61" s="68" t="s">
        <v>1975</v>
      </c>
      <c r="K61" s="68" t="s">
        <v>1976</v>
      </c>
      <c r="L61" s="68" t="s">
        <v>131</v>
      </c>
      <c r="M61" s="72">
        <v>23</v>
      </c>
      <c r="N61" s="68" t="s">
        <v>1977</v>
      </c>
    </row>
    <row r="62" spans="1:14" ht="41.4" x14ac:dyDescent="0.3">
      <c r="A62" s="70" t="s">
        <v>1619</v>
      </c>
      <c r="B62" s="68" t="s">
        <v>1864</v>
      </c>
      <c r="C62" s="68" t="s">
        <v>1978</v>
      </c>
      <c r="D62" s="68" t="s">
        <v>1979</v>
      </c>
      <c r="E62" s="68">
        <v>3.6</v>
      </c>
      <c r="F62" s="68">
        <v>230</v>
      </c>
      <c r="G62" s="68" t="s">
        <v>1980</v>
      </c>
      <c r="H62" s="68" t="s">
        <v>157</v>
      </c>
      <c r="I62" s="68" t="s">
        <v>1610</v>
      </c>
      <c r="J62" s="68" t="s">
        <v>1981</v>
      </c>
      <c r="K62" s="68" t="s">
        <v>1982</v>
      </c>
      <c r="L62" s="68" t="s">
        <v>131</v>
      </c>
      <c r="M62" s="72">
        <v>24</v>
      </c>
      <c r="N62" s="68" t="s">
        <v>1983</v>
      </c>
    </row>
    <row r="63" spans="1:14" ht="41.4" x14ac:dyDescent="0.3">
      <c r="A63" s="70" t="s">
        <v>1619</v>
      </c>
      <c r="B63" s="68" t="s">
        <v>1864</v>
      </c>
      <c r="C63" s="68" t="s">
        <v>1914</v>
      </c>
      <c r="D63" s="68" t="s">
        <v>1984</v>
      </c>
      <c r="E63" s="68">
        <v>3.7</v>
      </c>
      <c r="F63" s="68">
        <v>240</v>
      </c>
      <c r="G63" s="68" t="s">
        <v>1985</v>
      </c>
      <c r="H63" s="68" t="s">
        <v>157</v>
      </c>
      <c r="I63" s="68" t="s">
        <v>1986</v>
      </c>
      <c r="J63" s="68" t="s">
        <v>1987</v>
      </c>
      <c r="K63" s="68"/>
      <c r="L63" s="68" t="s">
        <v>131</v>
      </c>
      <c r="M63" s="72">
        <v>24</v>
      </c>
      <c r="N63" s="68" t="s">
        <v>1988</v>
      </c>
    </row>
    <row r="64" spans="1:14" ht="41.4" x14ac:dyDescent="0.3">
      <c r="A64" s="70" t="s">
        <v>1619</v>
      </c>
      <c r="B64" s="68" t="s">
        <v>1864</v>
      </c>
      <c r="C64" s="68" t="s">
        <v>1989</v>
      </c>
      <c r="D64" s="68" t="s">
        <v>262</v>
      </c>
      <c r="E64" s="68">
        <v>4.0999999999999996</v>
      </c>
      <c r="F64" s="68">
        <v>250</v>
      </c>
      <c r="G64" s="68" t="s">
        <v>1990</v>
      </c>
      <c r="H64" s="68" t="s">
        <v>135</v>
      </c>
      <c r="I64" s="68" t="s">
        <v>1987</v>
      </c>
      <c r="J64" s="68" t="s">
        <v>1307</v>
      </c>
      <c r="K64" s="68"/>
      <c r="L64" s="68" t="s">
        <v>124</v>
      </c>
      <c r="M64" s="72">
        <v>25</v>
      </c>
      <c r="N64" s="68" t="s">
        <v>1991</v>
      </c>
    </row>
    <row r="65" spans="1:14" ht="41.4" x14ac:dyDescent="0.3">
      <c r="A65" s="70" t="s">
        <v>1619</v>
      </c>
      <c r="B65" s="68" t="s">
        <v>1864</v>
      </c>
      <c r="C65" s="68" t="s">
        <v>1989</v>
      </c>
      <c r="D65" s="68" t="s">
        <v>265</v>
      </c>
      <c r="E65" s="68">
        <v>4.2</v>
      </c>
      <c r="F65" s="68">
        <v>260</v>
      </c>
      <c r="G65" s="68" t="s">
        <v>1992</v>
      </c>
      <c r="H65" s="68" t="s">
        <v>135</v>
      </c>
      <c r="I65" s="68" t="s">
        <v>1993</v>
      </c>
      <c r="J65" s="68" t="s">
        <v>1994</v>
      </c>
      <c r="K65" s="68"/>
      <c r="L65" s="68" t="s">
        <v>124</v>
      </c>
      <c r="M65" s="72">
        <v>26</v>
      </c>
      <c r="N65" s="68" t="s">
        <v>1995</v>
      </c>
    </row>
    <row r="66" spans="1:14" ht="41.4" x14ac:dyDescent="0.3">
      <c r="A66" s="70" t="s">
        <v>1619</v>
      </c>
      <c r="B66" s="68" t="s">
        <v>1864</v>
      </c>
      <c r="C66" s="68" t="s">
        <v>1996</v>
      </c>
      <c r="D66" s="68" t="s">
        <v>1997</v>
      </c>
      <c r="E66" s="68">
        <v>4.3</v>
      </c>
      <c r="F66" s="68">
        <v>270</v>
      </c>
      <c r="G66" s="68" t="s">
        <v>1998</v>
      </c>
      <c r="H66" s="68" t="s">
        <v>135</v>
      </c>
      <c r="I66" s="68" t="s">
        <v>1994</v>
      </c>
      <c r="J66" s="68" t="s">
        <v>1999</v>
      </c>
      <c r="K66" s="68"/>
      <c r="L66" s="68" t="s">
        <v>124</v>
      </c>
      <c r="M66" s="72">
        <v>27</v>
      </c>
      <c r="N66" s="68" t="s">
        <v>2000</v>
      </c>
    </row>
    <row r="67" spans="1:14" ht="41.4" x14ac:dyDescent="0.3">
      <c r="A67" s="70" t="s">
        <v>1619</v>
      </c>
      <c r="B67" s="68" t="s">
        <v>1864</v>
      </c>
      <c r="C67" s="68" t="s">
        <v>2001</v>
      </c>
      <c r="D67" s="68" t="s">
        <v>2002</v>
      </c>
      <c r="E67" s="68">
        <v>4.4000000000000004</v>
      </c>
      <c r="F67" s="68">
        <v>280</v>
      </c>
      <c r="G67" s="68" t="s">
        <v>2003</v>
      </c>
      <c r="H67" s="68" t="s">
        <v>157</v>
      </c>
      <c r="I67" s="68" t="s">
        <v>1999</v>
      </c>
      <c r="J67" s="68" t="s">
        <v>2004</v>
      </c>
      <c r="K67" s="68"/>
      <c r="L67" s="68" t="s">
        <v>131</v>
      </c>
      <c r="M67" s="72">
        <v>28</v>
      </c>
      <c r="N67" s="68" t="s">
        <v>2005</v>
      </c>
    </row>
    <row r="68" spans="1:14" ht="41.4" x14ac:dyDescent="0.3">
      <c r="A68" s="70" t="s">
        <v>1619</v>
      </c>
      <c r="B68" s="68" t="s">
        <v>1864</v>
      </c>
      <c r="C68" s="68" t="s">
        <v>2006</v>
      </c>
      <c r="D68" s="68" t="s">
        <v>2007</v>
      </c>
      <c r="E68" s="68">
        <v>4.5</v>
      </c>
      <c r="F68" s="68">
        <v>290</v>
      </c>
      <c r="G68" s="68" t="s">
        <v>2008</v>
      </c>
      <c r="H68" s="68" t="s">
        <v>157</v>
      </c>
      <c r="I68" s="68" t="s">
        <v>2004</v>
      </c>
      <c r="J68" s="68" t="s">
        <v>2009</v>
      </c>
      <c r="K68" s="68"/>
      <c r="L68" s="68" t="s">
        <v>276</v>
      </c>
      <c r="M68" s="72">
        <v>30</v>
      </c>
      <c r="N68" s="68" t="s">
        <v>2010</v>
      </c>
    </row>
    <row r="69" spans="1:14" ht="41.4" x14ac:dyDescent="0.3">
      <c r="A69" s="70" t="s">
        <v>1619</v>
      </c>
      <c r="B69" s="68" t="s">
        <v>1864</v>
      </c>
      <c r="C69" s="68" t="s">
        <v>1978</v>
      </c>
      <c r="D69" s="68" t="s">
        <v>2011</v>
      </c>
      <c r="E69" s="68">
        <v>4.5999999999999996</v>
      </c>
      <c r="F69" s="68">
        <v>300</v>
      </c>
      <c r="G69" s="68" t="s">
        <v>2012</v>
      </c>
      <c r="H69" s="68" t="s">
        <v>135</v>
      </c>
      <c r="I69" s="68" t="s">
        <v>2013</v>
      </c>
      <c r="J69" s="68" t="s">
        <v>2014</v>
      </c>
      <c r="K69" s="68"/>
      <c r="L69" s="68" t="s">
        <v>124</v>
      </c>
      <c r="M69" s="72">
        <v>32</v>
      </c>
      <c r="N69" s="68" t="s">
        <v>2015</v>
      </c>
    </row>
    <row r="70" spans="1:14" ht="41.4" x14ac:dyDescent="0.3">
      <c r="A70" s="70" t="s">
        <v>1619</v>
      </c>
      <c r="B70" s="68" t="s">
        <v>1864</v>
      </c>
      <c r="C70" s="68" t="s">
        <v>2016</v>
      </c>
      <c r="D70" s="68" t="s">
        <v>2017</v>
      </c>
      <c r="E70" s="68">
        <v>4.7</v>
      </c>
      <c r="F70" s="68">
        <v>310</v>
      </c>
      <c r="G70" s="68" t="s">
        <v>2018</v>
      </c>
      <c r="H70" s="68" t="s">
        <v>135</v>
      </c>
      <c r="I70" s="68" t="s">
        <v>2014</v>
      </c>
      <c r="J70" s="68" t="s">
        <v>2019</v>
      </c>
      <c r="K70" s="68"/>
      <c r="L70" s="68" t="s">
        <v>289</v>
      </c>
      <c r="M70" s="72">
        <v>33</v>
      </c>
      <c r="N70" s="68" t="s">
        <v>2020</v>
      </c>
    </row>
    <row r="71" spans="1:14" x14ac:dyDescent="0.3">
      <c r="A71" s="9"/>
      <c r="B71" s="9"/>
      <c r="C71" s="9"/>
      <c r="D71" s="9"/>
      <c r="E71" s="9"/>
      <c r="F71" s="9"/>
      <c r="G71" s="9"/>
      <c r="H71" s="9"/>
      <c r="I71" s="9"/>
      <c r="J71" s="9"/>
      <c r="K71" s="9"/>
      <c r="L71" s="9"/>
      <c r="M71" s="9"/>
      <c r="N71" s="9"/>
    </row>
    <row r="72" spans="1:14" x14ac:dyDescent="0.3">
      <c r="A72" s="9"/>
      <c r="B72" s="9"/>
      <c r="C72" s="9"/>
      <c r="D72" s="9"/>
      <c r="E72" s="9"/>
      <c r="F72" s="9"/>
      <c r="G72" s="9"/>
      <c r="H72" s="9"/>
      <c r="I72" s="9"/>
      <c r="J72" s="9"/>
      <c r="K72" s="9"/>
      <c r="L72" s="9"/>
      <c r="M72" s="9"/>
      <c r="N72" s="9"/>
    </row>
    <row r="73" spans="1:14" x14ac:dyDescent="0.3">
      <c r="A73" s="9"/>
      <c r="B73" s="9"/>
      <c r="C73" s="9"/>
      <c r="D73" s="9"/>
      <c r="E73" s="9"/>
      <c r="F73" s="9"/>
      <c r="G73" s="9"/>
      <c r="H73" s="9"/>
      <c r="I73" s="9"/>
      <c r="J73" s="9"/>
      <c r="K73" s="9"/>
      <c r="L73" s="9"/>
      <c r="M73" s="9"/>
      <c r="N73" s="9"/>
    </row>
    <row r="74" spans="1:14" x14ac:dyDescent="0.3">
      <c r="A74" s="9"/>
      <c r="B74" s="9"/>
      <c r="C74" s="9"/>
      <c r="D74" s="9"/>
      <c r="E74" s="9"/>
      <c r="F74" s="9"/>
      <c r="G74" s="9"/>
      <c r="H74" s="9"/>
      <c r="I74" s="9"/>
      <c r="J74" s="9"/>
      <c r="K74" s="9"/>
      <c r="L74" s="9"/>
      <c r="M74" s="9"/>
      <c r="N74" s="9"/>
    </row>
    <row r="75" spans="1:14" x14ac:dyDescent="0.3">
      <c r="A75" s="9"/>
      <c r="B75" s="9"/>
      <c r="C75" s="9"/>
      <c r="D75" s="9"/>
      <c r="E75" s="9"/>
      <c r="F75" s="9"/>
      <c r="G75" s="9"/>
      <c r="H75" s="9"/>
      <c r="I75" s="9"/>
      <c r="J75" s="9"/>
      <c r="K75" s="9"/>
      <c r="L75" s="9"/>
      <c r="M75" s="9"/>
      <c r="N75" s="9"/>
    </row>
    <row r="76" spans="1:14" x14ac:dyDescent="0.3">
      <c r="A76" s="9"/>
      <c r="B76" s="9"/>
      <c r="C76" s="9"/>
      <c r="D76" s="9"/>
      <c r="E76" s="9"/>
      <c r="F76" s="9"/>
      <c r="G76" s="9"/>
      <c r="H76" s="9"/>
      <c r="I76" s="9"/>
      <c r="J76" s="9"/>
      <c r="K76" s="9"/>
      <c r="L76" s="9"/>
      <c r="M76" s="9"/>
      <c r="N76" s="9"/>
    </row>
    <row r="77" spans="1:14" x14ac:dyDescent="0.3">
      <c r="A77" s="9"/>
      <c r="B77" s="9"/>
      <c r="C77" s="9"/>
      <c r="D77" s="9"/>
      <c r="E77" s="9"/>
      <c r="F77" s="9"/>
      <c r="G77" s="9"/>
      <c r="H77" s="9"/>
      <c r="I77" s="9"/>
      <c r="J77" s="9"/>
      <c r="K77" s="9"/>
      <c r="L77" s="9"/>
      <c r="M77" s="9"/>
      <c r="N77" s="9"/>
    </row>
    <row r="78" spans="1:14" x14ac:dyDescent="0.3">
      <c r="A78" s="9"/>
      <c r="B78" s="9"/>
      <c r="C78" s="9"/>
      <c r="D78" s="9"/>
      <c r="E78" s="9"/>
      <c r="F78" s="9"/>
      <c r="G78" s="9"/>
      <c r="H78" s="9"/>
      <c r="I78" s="9"/>
      <c r="J78" s="9"/>
      <c r="K78" s="9"/>
      <c r="L78" s="9"/>
      <c r="M78" s="9"/>
      <c r="N78" s="9"/>
    </row>
    <row r="79" spans="1:14" x14ac:dyDescent="0.3">
      <c r="A79" s="9"/>
      <c r="B79" s="9"/>
      <c r="C79" s="9"/>
      <c r="D79" s="9"/>
      <c r="E79" s="9"/>
      <c r="F79" s="9"/>
      <c r="G79" s="9"/>
      <c r="H79" s="9"/>
      <c r="I79" s="9"/>
      <c r="J79" s="9"/>
      <c r="K79" s="9"/>
      <c r="L79" s="9"/>
      <c r="M79" s="9"/>
      <c r="N79" s="9"/>
    </row>
    <row r="80" spans="1:14" x14ac:dyDescent="0.3">
      <c r="A80" s="9"/>
      <c r="B80" s="9"/>
      <c r="C80" s="9"/>
      <c r="D80" s="9"/>
      <c r="E80" s="9"/>
      <c r="F80" s="9"/>
      <c r="G80" s="9"/>
      <c r="H80" s="9"/>
      <c r="I80" s="9"/>
      <c r="J80" s="9"/>
      <c r="K80" s="9"/>
      <c r="L80" s="9"/>
      <c r="M80" s="9"/>
      <c r="N80" s="9"/>
    </row>
    <row r="81" spans="1:14" x14ac:dyDescent="0.3">
      <c r="A81" s="9"/>
      <c r="B81" s="9"/>
      <c r="C81" s="9"/>
      <c r="D81" s="9"/>
      <c r="E81" s="9"/>
      <c r="F81" s="9"/>
      <c r="G81" s="9"/>
      <c r="H81" s="9"/>
      <c r="I81" s="9"/>
      <c r="J81" s="9"/>
      <c r="K81" s="9"/>
      <c r="L81" s="9"/>
      <c r="M81" s="9"/>
      <c r="N81" s="9"/>
    </row>
    <row r="82" spans="1:14" x14ac:dyDescent="0.3">
      <c r="A82" s="9"/>
      <c r="B82" s="9"/>
      <c r="C82" s="9"/>
      <c r="D82" s="9"/>
      <c r="E82" s="9"/>
      <c r="F82" s="9"/>
      <c r="G82" s="9"/>
      <c r="H82" s="9"/>
      <c r="I82" s="9"/>
      <c r="J82" s="9"/>
      <c r="K82" s="9"/>
      <c r="L82" s="9"/>
      <c r="M82" s="9"/>
      <c r="N82" s="9"/>
    </row>
    <row r="83" spans="1:14" x14ac:dyDescent="0.3">
      <c r="A83" s="9"/>
      <c r="B83" s="9"/>
      <c r="C83" s="9"/>
      <c r="D83" s="9"/>
      <c r="E83" s="9"/>
      <c r="F83" s="9"/>
      <c r="G83" s="9"/>
      <c r="H83" s="9"/>
      <c r="I83" s="9"/>
      <c r="J83" s="9"/>
      <c r="K83" s="9"/>
      <c r="L83" s="9"/>
      <c r="M83" s="9"/>
      <c r="N83" s="9"/>
    </row>
    <row r="84" spans="1:14" x14ac:dyDescent="0.3">
      <c r="A84" s="9"/>
      <c r="B84" s="9"/>
      <c r="C84" s="9"/>
      <c r="D84" s="9"/>
      <c r="E84" s="9"/>
      <c r="F84" s="9"/>
      <c r="G84" s="9"/>
      <c r="H84" s="9"/>
      <c r="I84" s="9"/>
      <c r="J84" s="9"/>
      <c r="K84" s="9"/>
      <c r="L84" s="9"/>
      <c r="M84" s="9"/>
      <c r="N84" s="9"/>
    </row>
    <row r="85" spans="1:14" x14ac:dyDescent="0.3">
      <c r="A85" s="9"/>
      <c r="B85" s="9"/>
      <c r="C85" s="9"/>
      <c r="D85" s="9"/>
      <c r="E85" s="9"/>
      <c r="F85" s="9"/>
      <c r="G85" s="9"/>
      <c r="H85" s="9"/>
      <c r="I85" s="9"/>
      <c r="J85" s="9"/>
      <c r="K85" s="9"/>
      <c r="L85" s="9"/>
      <c r="M85" s="9"/>
      <c r="N85" s="9"/>
    </row>
    <row r="86" spans="1:14" x14ac:dyDescent="0.3">
      <c r="A86" s="9"/>
      <c r="B86" s="9"/>
      <c r="C86" s="9"/>
      <c r="D86" s="9"/>
      <c r="E86" s="9"/>
      <c r="F86" s="9"/>
      <c r="G86" s="9"/>
      <c r="H86" s="9"/>
      <c r="I86" s="9"/>
      <c r="J86" s="9"/>
      <c r="K86" s="9"/>
      <c r="L86" s="9"/>
      <c r="M86" s="9"/>
      <c r="N86" s="9"/>
    </row>
    <row r="87" spans="1:14" x14ac:dyDescent="0.3">
      <c r="A87" s="9"/>
      <c r="B87" s="9"/>
      <c r="C87" s="9"/>
      <c r="D87" s="9"/>
      <c r="E87" s="9"/>
      <c r="F87" s="9"/>
      <c r="G87" s="9"/>
      <c r="H87" s="9"/>
      <c r="I87" s="9"/>
      <c r="J87" s="9"/>
      <c r="K87" s="9"/>
      <c r="L87" s="9"/>
      <c r="M87" s="9"/>
      <c r="N87" s="9"/>
    </row>
    <row r="88" spans="1:14" x14ac:dyDescent="0.3">
      <c r="A88" s="9"/>
      <c r="B88" s="9"/>
      <c r="C88" s="9"/>
      <c r="D88" s="9"/>
      <c r="E88" s="9"/>
      <c r="F88" s="9"/>
      <c r="G88" s="9"/>
      <c r="H88" s="9"/>
      <c r="I88" s="9"/>
      <c r="J88" s="9"/>
      <c r="K88" s="9"/>
      <c r="L88" s="9"/>
      <c r="M88" s="9"/>
      <c r="N88" s="9"/>
    </row>
    <row r="89" spans="1:14" x14ac:dyDescent="0.3">
      <c r="A89" s="9"/>
      <c r="B89" s="9"/>
      <c r="C89" s="9"/>
      <c r="D89" s="9"/>
      <c r="E89" s="9"/>
      <c r="F89" s="9"/>
      <c r="G89" s="9"/>
      <c r="H89" s="9"/>
      <c r="I89" s="9"/>
      <c r="J89" s="9"/>
      <c r="K89" s="9"/>
      <c r="L89" s="9"/>
      <c r="M89" s="9"/>
      <c r="N89" s="9"/>
    </row>
    <row r="90" spans="1:14" x14ac:dyDescent="0.3">
      <c r="A90" s="9"/>
      <c r="B90" s="9"/>
      <c r="C90" s="9"/>
      <c r="D90" s="9"/>
      <c r="E90" s="9"/>
      <c r="F90" s="9"/>
      <c r="G90" s="9"/>
      <c r="H90" s="9"/>
      <c r="I90" s="9"/>
      <c r="J90" s="9"/>
      <c r="K90" s="9"/>
      <c r="L90" s="9"/>
      <c r="M90" s="9"/>
      <c r="N90" s="9"/>
    </row>
    <row r="91" spans="1:14" x14ac:dyDescent="0.3">
      <c r="A91" s="9"/>
      <c r="B91" s="9"/>
      <c r="C91" s="9"/>
      <c r="D91" s="9"/>
      <c r="E91" s="9"/>
      <c r="F91" s="9"/>
      <c r="G91" s="9"/>
      <c r="H91" s="9"/>
      <c r="I91" s="9"/>
      <c r="J91" s="9"/>
      <c r="K91" s="9"/>
      <c r="L91" s="9"/>
      <c r="M91" s="9"/>
      <c r="N91" s="9"/>
    </row>
    <row r="92" spans="1:14" x14ac:dyDescent="0.3">
      <c r="A92" s="9"/>
      <c r="B92" s="9"/>
      <c r="C92" s="9"/>
      <c r="D92" s="9"/>
      <c r="E92" s="9"/>
      <c r="F92" s="9"/>
      <c r="G92" s="9"/>
      <c r="H92" s="9"/>
      <c r="I92" s="9"/>
      <c r="J92" s="9"/>
      <c r="K92" s="9"/>
      <c r="L92" s="9"/>
      <c r="M92" s="9"/>
      <c r="N92" s="9"/>
    </row>
    <row r="93" spans="1:14" x14ac:dyDescent="0.3">
      <c r="A93" s="9"/>
      <c r="B93" s="9"/>
      <c r="C93" s="9"/>
      <c r="D93" s="9"/>
      <c r="E93" s="9"/>
      <c r="F93" s="9"/>
      <c r="G93" s="9"/>
      <c r="H93" s="9"/>
      <c r="I93" s="9"/>
      <c r="J93" s="9"/>
      <c r="K93" s="9"/>
      <c r="L93" s="9"/>
      <c r="M93" s="9"/>
      <c r="N93" s="9"/>
    </row>
    <row r="94" spans="1:14" x14ac:dyDescent="0.3">
      <c r="A94" s="9"/>
      <c r="B94" s="9"/>
      <c r="C94" s="9"/>
      <c r="D94" s="9"/>
      <c r="E94" s="9"/>
      <c r="F94" s="9"/>
      <c r="G94" s="9"/>
      <c r="H94" s="9"/>
      <c r="I94" s="9"/>
      <c r="J94" s="9"/>
      <c r="K94" s="9"/>
      <c r="L94" s="9"/>
      <c r="M94" s="9"/>
      <c r="N94" s="9"/>
    </row>
    <row r="95" spans="1:14" x14ac:dyDescent="0.3">
      <c r="A95" s="9"/>
      <c r="B95" s="9"/>
      <c r="C95" s="9"/>
      <c r="D95" s="9"/>
      <c r="E95" s="9"/>
      <c r="F95" s="9"/>
      <c r="G95" s="9"/>
      <c r="H95" s="9"/>
      <c r="I95" s="9"/>
      <c r="J95" s="9"/>
      <c r="K95" s="9"/>
      <c r="L95" s="9"/>
      <c r="M95" s="9"/>
      <c r="N95" s="9"/>
    </row>
    <row r="96" spans="1:14" x14ac:dyDescent="0.3">
      <c r="A96" s="9"/>
      <c r="B96" s="9"/>
      <c r="C96" s="9"/>
      <c r="D96" s="9"/>
      <c r="E96" s="9"/>
      <c r="F96" s="9"/>
      <c r="G96" s="9"/>
      <c r="H96" s="9"/>
      <c r="I96" s="9"/>
      <c r="J96" s="9"/>
      <c r="K96" s="9"/>
      <c r="L96" s="9"/>
      <c r="M96" s="9"/>
      <c r="N96" s="9"/>
    </row>
    <row r="97" spans="1:14" x14ac:dyDescent="0.3">
      <c r="A97" s="9"/>
      <c r="B97" s="9"/>
      <c r="C97" s="9"/>
      <c r="D97" s="9"/>
      <c r="E97" s="9"/>
      <c r="F97" s="9"/>
      <c r="G97" s="9"/>
      <c r="H97" s="9"/>
      <c r="I97" s="9"/>
      <c r="J97" s="9"/>
      <c r="K97" s="9"/>
      <c r="L97" s="9"/>
      <c r="M97" s="9"/>
      <c r="N97" s="9"/>
    </row>
    <row r="98" spans="1:14" x14ac:dyDescent="0.3">
      <c r="A98" s="9"/>
      <c r="B98" s="9"/>
      <c r="C98" s="9"/>
      <c r="D98" s="9"/>
      <c r="E98" s="9"/>
      <c r="F98" s="9"/>
      <c r="G98" s="9"/>
      <c r="H98" s="9"/>
      <c r="I98" s="9"/>
      <c r="J98" s="9"/>
      <c r="K98" s="9"/>
      <c r="L98" s="9"/>
      <c r="M98" s="9"/>
      <c r="N98" s="9"/>
    </row>
    <row r="99" spans="1:14" x14ac:dyDescent="0.3">
      <c r="A99" s="9"/>
      <c r="B99" s="9"/>
      <c r="C99" s="9"/>
      <c r="D99" s="9"/>
      <c r="E99" s="9"/>
      <c r="F99" s="9"/>
      <c r="G99" s="9"/>
      <c r="H99" s="9"/>
      <c r="I99" s="9"/>
      <c r="J99" s="9"/>
      <c r="K99" s="9"/>
      <c r="L99" s="9"/>
      <c r="M99" s="9"/>
      <c r="N99" s="9"/>
    </row>
    <row r="100" spans="1:14" x14ac:dyDescent="0.3">
      <c r="A100" s="9"/>
      <c r="B100" s="9"/>
      <c r="C100" s="9"/>
      <c r="D100" s="9"/>
      <c r="E100" s="9"/>
      <c r="F100" s="9"/>
      <c r="G100" s="9"/>
      <c r="H100" s="9"/>
      <c r="I100" s="9"/>
      <c r="J100" s="9"/>
      <c r="K100" s="9"/>
      <c r="L100" s="9"/>
      <c r="M100" s="9"/>
      <c r="N100" s="9"/>
    </row>
    <row r="101" spans="1:14" x14ac:dyDescent="0.3">
      <c r="A101" s="9"/>
      <c r="B101" s="9"/>
      <c r="C101" s="9"/>
      <c r="D101" s="9"/>
      <c r="E101" s="9"/>
      <c r="F101" s="9"/>
      <c r="G101" s="9"/>
      <c r="H101" s="9"/>
      <c r="I101" s="9"/>
      <c r="J101" s="9"/>
      <c r="K101" s="9"/>
      <c r="L101" s="9"/>
      <c r="M101" s="9"/>
      <c r="N101" s="9"/>
    </row>
    <row r="102" spans="1:14" x14ac:dyDescent="0.3">
      <c r="A102" s="9"/>
      <c r="B102" s="9"/>
      <c r="C102" s="9"/>
      <c r="D102" s="9"/>
      <c r="E102" s="9"/>
      <c r="F102" s="9"/>
      <c r="G102" s="9"/>
      <c r="H102" s="9"/>
      <c r="I102" s="9"/>
      <c r="J102" s="9"/>
      <c r="K102" s="9"/>
      <c r="L102" s="9"/>
      <c r="M102" s="9"/>
      <c r="N102" s="9"/>
    </row>
    <row r="103" spans="1:14" x14ac:dyDescent="0.3">
      <c r="A103" s="9"/>
      <c r="B103" s="9"/>
      <c r="C103" s="9"/>
      <c r="D103" s="9"/>
      <c r="E103" s="9"/>
      <c r="F103" s="9"/>
      <c r="G103" s="9"/>
      <c r="H103" s="9"/>
      <c r="I103" s="9"/>
      <c r="J103" s="9"/>
      <c r="K103" s="9"/>
      <c r="L103" s="9"/>
      <c r="M103" s="9"/>
      <c r="N103" s="9"/>
    </row>
    <row r="104" spans="1:14" x14ac:dyDescent="0.3">
      <c r="A104" s="9"/>
      <c r="B104" s="9"/>
      <c r="C104" s="9"/>
      <c r="D104" s="9"/>
      <c r="E104" s="9"/>
      <c r="F104" s="9"/>
      <c r="G104" s="9"/>
      <c r="H104" s="9"/>
      <c r="I104" s="9"/>
      <c r="J104" s="9"/>
      <c r="K104" s="9"/>
      <c r="L104" s="9"/>
      <c r="M104" s="9"/>
      <c r="N104" s="9"/>
    </row>
    <row r="105" spans="1:14" x14ac:dyDescent="0.3">
      <c r="A105" s="9"/>
      <c r="B105" s="9"/>
      <c r="C105" s="9"/>
      <c r="D105" s="9"/>
      <c r="E105" s="9"/>
      <c r="F105" s="9"/>
      <c r="G105" s="9"/>
      <c r="H105" s="9"/>
      <c r="I105" s="9"/>
      <c r="J105" s="9"/>
      <c r="K105" s="9"/>
      <c r="L105" s="9"/>
      <c r="M105" s="9"/>
      <c r="N105" s="9"/>
    </row>
    <row r="106" spans="1:14" x14ac:dyDescent="0.3">
      <c r="A106" s="9"/>
      <c r="B106" s="9"/>
      <c r="C106" s="9"/>
      <c r="D106" s="9"/>
      <c r="E106" s="9"/>
      <c r="F106" s="9"/>
      <c r="G106" s="9"/>
      <c r="H106" s="9"/>
      <c r="I106" s="9"/>
      <c r="J106" s="9"/>
      <c r="K106" s="9"/>
      <c r="L106" s="9"/>
      <c r="M106" s="9"/>
      <c r="N106" s="9"/>
    </row>
    <row r="107" spans="1:14" x14ac:dyDescent="0.3">
      <c r="A107" s="9"/>
      <c r="B107" s="9"/>
      <c r="C107" s="9"/>
      <c r="D107" s="9"/>
      <c r="E107" s="9"/>
      <c r="F107" s="9"/>
      <c r="G107" s="9"/>
      <c r="H107" s="9"/>
      <c r="I107" s="9"/>
      <c r="J107" s="9"/>
      <c r="K107" s="9"/>
      <c r="L107" s="9"/>
      <c r="M107" s="9"/>
      <c r="N107" s="9"/>
    </row>
    <row r="108" spans="1:14" x14ac:dyDescent="0.3">
      <c r="A108" s="9"/>
      <c r="B108" s="9"/>
      <c r="C108" s="9"/>
      <c r="D108" s="9"/>
      <c r="E108" s="9"/>
      <c r="F108" s="9"/>
      <c r="G108" s="9"/>
      <c r="H108" s="9"/>
      <c r="I108" s="9"/>
      <c r="J108" s="9"/>
      <c r="K108" s="9"/>
      <c r="L108" s="9"/>
      <c r="M108" s="9"/>
      <c r="N108" s="9"/>
    </row>
    <row r="109" spans="1:14" x14ac:dyDescent="0.3">
      <c r="A109" s="9"/>
      <c r="B109" s="9"/>
      <c r="C109" s="9"/>
      <c r="D109" s="9"/>
      <c r="E109" s="9"/>
      <c r="F109" s="9"/>
      <c r="G109" s="9"/>
      <c r="H109" s="9"/>
      <c r="I109" s="9"/>
      <c r="J109" s="9"/>
      <c r="K109" s="9"/>
      <c r="L109" s="9"/>
      <c r="M109" s="9"/>
      <c r="N109" s="9"/>
    </row>
    <row r="110" spans="1:14" x14ac:dyDescent="0.3">
      <c r="A110" s="9"/>
      <c r="B110" s="9"/>
      <c r="C110" s="9"/>
      <c r="D110" s="9"/>
      <c r="E110" s="9"/>
      <c r="F110" s="9"/>
      <c r="G110" s="9"/>
      <c r="H110" s="9"/>
      <c r="I110" s="9"/>
      <c r="J110" s="9"/>
      <c r="K110" s="9"/>
      <c r="L110" s="9"/>
      <c r="M110" s="9"/>
      <c r="N110" s="9"/>
    </row>
    <row r="111" spans="1:14" x14ac:dyDescent="0.3">
      <c r="A111" s="9"/>
      <c r="B111" s="9"/>
      <c r="C111" s="9"/>
      <c r="D111" s="9"/>
      <c r="E111" s="9"/>
      <c r="F111" s="9"/>
      <c r="G111" s="9"/>
      <c r="H111" s="9"/>
      <c r="I111" s="9"/>
      <c r="J111" s="9"/>
      <c r="K111" s="9"/>
      <c r="L111" s="9"/>
      <c r="M111" s="9"/>
      <c r="N111" s="9"/>
    </row>
    <row r="112" spans="1:14" x14ac:dyDescent="0.3">
      <c r="A112" s="9"/>
      <c r="B112" s="9"/>
      <c r="C112" s="9"/>
      <c r="D112" s="9"/>
      <c r="E112" s="9"/>
      <c r="F112" s="9"/>
      <c r="G112" s="9"/>
      <c r="H112" s="9"/>
      <c r="I112" s="9"/>
      <c r="J112" s="9"/>
      <c r="K112" s="9"/>
      <c r="L112" s="9"/>
      <c r="M112" s="9"/>
      <c r="N112" s="9"/>
    </row>
    <row r="113" spans="1:14" x14ac:dyDescent="0.3">
      <c r="A113" s="9"/>
      <c r="B113" s="9"/>
      <c r="C113" s="9"/>
      <c r="D113" s="9"/>
      <c r="E113" s="9"/>
      <c r="F113" s="9"/>
      <c r="G113" s="9"/>
      <c r="H113" s="9"/>
      <c r="I113" s="9"/>
      <c r="J113" s="9"/>
      <c r="K113" s="9"/>
      <c r="L113" s="9"/>
      <c r="M113" s="9"/>
      <c r="N113" s="9"/>
    </row>
    <row r="114" spans="1:14" x14ac:dyDescent="0.3">
      <c r="A114" s="9"/>
      <c r="B114" s="9"/>
      <c r="C114" s="9"/>
      <c r="D114" s="9"/>
      <c r="E114" s="9"/>
      <c r="F114" s="9"/>
      <c r="G114" s="9"/>
      <c r="H114" s="9"/>
      <c r="I114" s="9"/>
      <c r="J114" s="9"/>
      <c r="K114" s="9"/>
      <c r="L114" s="9"/>
      <c r="M114" s="9"/>
      <c r="N114" s="9"/>
    </row>
    <row r="115" spans="1:14" x14ac:dyDescent="0.3">
      <c r="A115" s="9"/>
      <c r="B115" s="9"/>
      <c r="C115" s="9"/>
      <c r="D115" s="9"/>
      <c r="E115" s="9"/>
      <c r="F115" s="9"/>
      <c r="G115" s="9"/>
      <c r="H115" s="9"/>
      <c r="I115" s="9"/>
      <c r="J115" s="9"/>
      <c r="K115" s="9"/>
      <c r="L115" s="9"/>
      <c r="M115" s="9"/>
      <c r="N115" s="9"/>
    </row>
    <row r="116" spans="1:14" x14ac:dyDescent="0.3">
      <c r="A116" s="9"/>
      <c r="B116" s="9"/>
      <c r="C116" s="9"/>
      <c r="D116" s="9"/>
      <c r="E116" s="9"/>
      <c r="F116" s="9"/>
      <c r="G116" s="9"/>
      <c r="H116" s="9"/>
      <c r="I116" s="9"/>
      <c r="J116" s="9"/>
      <c r="K116" s="9"/>
      <c r="L116" s="9"/>
      <c r="M116" s="9"/>
      <c r="N116" s="9"/>
    </row>
    <row r="117" spans="1:14" x14ac:dyDescent="0.3">
      <c r="A117" s="9"/>
      <c r="B117" s="9"/>
      <c r="C117" s="9"/>
      <c r="D117" s="9"/>
      <c r="E117" s="9"/>
      <c r="F117" s="9"/>
      <c r="G117" s="9"/>
      <c r="H117" s="9"/>
      <c r="I117" s="9"/>
      <c r="J117" s="9"/>
      <c r="K117" s="9"/>
      <c r="L117" s="9"/>
      <c r="M117" s="9"/>
      <c r="N117" s="9"/>
    </row>
    <row r="118" spans="1:14" x14ac:dyDescent="0.3">
      <c r="A118" s="9"/>
      <c r="B118" s="9"/>
      <c r="C118" s="9"/>
      <c r="D118" s="9"/>
      <c r="E118" s="9"/>
      <c r="F118" s="9"/>
      <c r="G118" s="9"/>
      <c r="H118" s="9"/>
      <c r="I118" s="9"/>
      <c r="J118" s="9"/>
      <c r="K118" s="9"/>
      <c r="L118" s="9"/>
      <c r="M118" s="9"/>
      <c r="N118" s="9"/>
    </row>
    <row r="119" spans="1:14" x14ac:dyDescent="0.3">
      <c r="A119" s="9"/>
      <c r="B119" s="9"/>
      <c r="C119" s="9"/>
      <c r="D119" s="9"/>
      <c r="E119" s="9"/>
      <c r="F119" s="9"/>
      <c r="G119" s="9"/>
      <c r="H119" s="9"/>
      <c r="I119" s="9"/>
      <c r="J119" s="9"/>
      <c r="K119" s="9"/>
      <c r="L119" s="9"/>
      <c r="M119" s="9"/>
      <c r="N119" s="9"/>
    </row>
    <row r="120" spans="1:14" x14ac:dyDescent="0.3">
      <c r="A120" s="9"/>
      <c r="B120" s="9"/>
      <c r="C120" s="9"/>
      <c r="D120" s="9"/>
      <c r="E120" s="9"/>
      <c r="F120" s="9"/>
      <c r="G120" s="9"/>
      <c r="H120" s="9"/>
      <c r="I120" s="9"/>
      <c r="J120" s="9"/>
      <c r="K120" s="9"/>
      <c r="L120" s="9"/>
      <c r="M120" s="9"/>
      <c r="N120" s="9"/>
    </row>
    <row r="121" spans="1:14" x14ac:dyDescent="0.3">
      <c r="A121" s="9"/>
      <c r="B121" s="9"/>
      <c r="C121" s="9"/>
      <c r="D121" s="9"/>
      <c r="E121" s="9"/>
      <c r="F121" s="9"/>
      <c r="G121" s="9"/>
      <c r="H121" s="9"/>
      <c r="I121" s="9"/>
      <c r="J121" s="9"/>
      <c r="K121" s="9"/>
      <c r="L121" s="9"/>
      <c r="M121" s="9"/>
      <c r="N121" s="9"/>
    </row>
    <row r="122" spans="1:14" x14ac:dyDescent="0.3">
      <c r="A122" s="9"/>
      <c r="B122" s="9"/>
      <c r="C122" s="9"/>
      <c r="D122" s="9"/>
      <c r="E122" s="9"/>
      <c r="F122" s="9"/>
      <c r="G122" s="9"/>
      <c r="H122" s="9"/>
      <c r="I122" s="9"/>
      <c r="J122" s="9"/>
      <c r="K122" s="9"/>
      <c r="L122" s="9"/>
      <c r="M122" s="9"/>
      <c r="N122" s="9"/>
    </row>
    <row r="123" spans="1:14" x14ac:dyDescent="0.3">
      <c r="A123" s="9"/>
      <c r="B123" s="9"/>
      <c r="C123" s="9"/>
      <c r="D123" s="9"/>
      <c r="E123" s="9"/>
      <c r="F123" s="9"/>
      <c r="G123" s="9"/>
      <c r="H123" s="9"/>
      <c r="I123" s="9"/>
      <c r="J123" s="9"/>
      <c r="K123" s="9"/>
      <c r="L123" s="9"/>
      <c r="M123" s="9"/>
      <c r="N123" s="9"/>
    </row>
    <row r="124" spans="1:14" x14ac:dyDescent="0.3">
      <c r="A124" s="9"/>
      <c r="B124" s="9"/>
      <c r="C124" s="9"/>
      <c r="D124" s="9"/>
      <c r="E124" s="9"/>
      <c r="F124" s="9"/>
      <c r="G124" s="9"/>
      <c r="H124" s="9"/>
      <c r="I124" s="9"/>
      <c r="J124" s="9"/>
      <c r="K124" s="9"/>
      <c r="L124" s="9"/>
      <c r="M124" s="9"/>
      <c r="N124" s="9"/>
    </row>
    <row r="125" spans="1:14" x14ac:dyDescent="0.3">
      <c r="A125" s="9"/>
      <c r="B125" s="9"/>
      <c r="C125" s="9"/>
      <c r="D125" s="9"/>
      <c r="E125" s="9"/>
      <c r="F125" s="9"/>
      <c r="G125" s="9"/>
      <c r="H125" s="9"/>
      <c r="I125" s="9"/>
      <c r="J125" s="9"/>
      <c r="K125" s="9"/>
      <c r="L125" s="9"/>
      <c r="M125" s="9"/>
      <c r="N125" s="9"/>
    </row>
    <row r="126" spans="1:14" x14ac:dyDescent="0.3">
      <c r="A126" s="9"/>
      <c r="B126" s="9"/>
      <c r="C126" s="9"/>
      <c r="D126" s="9"/>
      <c r="E126" s="9"/>
      <c r="F126" s="9"/>
      <c r="G126" s="9"/>
      <c r="H126" s="9"/>
      <c r="I126" s="9"/>
      <c r="J126" s="9"/>
      <c r="K126" s="9"/>
      <c r="L126" s="9"/>
      <c r="M126" s="9"/>
      <c r="N126" s="9"/>
    </row>
    <row r="127" spans="1:14" x14ac:dyDescent="0.3">
      <c r="A127" s="9"/>
      <c r="B127" s="9"/>
      <c r="C127" s="9"/>
      <c r="D127" s="9"/>
      <c r="E127" s="9"/>
      <c r="F127" s="9"/>
      <c r="G127" s="9"/>
      <c r="H127" s="9"/>
      <c r="I127" s="9"/>
      <c r="J127" s="9"/>
      <c r="K127" s="9"/>
      <c r="L127" s="9"/>
      <c r="M127" s="9"/>
      <c r="N127" s="9"/>
    </row>
    <row r="128" spans="1:14" x14ac:dyDescent="0.3">
      <c r="A128" s="9"/>
      <c r="B128" s="9"/>
      <c r="C128" s="9"/>
      <c r="D128" s="9"/>
      <c r="E128" s="9"/>
      <c r="F128" s="9"/>
      <c r="G128" s="9"/>
      <c r="H128" s="9"/>
      <c r="I128" s="9"/>
      <c r="J128" s="9"/>
      <c r="K128" s="9"/>
      <c r="L128" s="9"/>
      <c r="M128" s="9"/>
      <c r="N128" s="9"/>
    </row>
    <row r="129" spans="1:14" x14ac:dyDescent="0.3">
      <c r="A129" s="9"/>
      <c r="B129" s="9"/>
      <c r="C129" s="9"/>
      <c r="D129" s="9"/>
      <c r="E129" s="9"/>
      <c r="F129" s="9"/>
      <c r="G129" s="9"/>
      <c r="H129" s="9"/>
      <c r="I129" s="9"/>
      <c r="J129" s="9"/>
      <c r="K129" s="9"/>
      <c r="L129" s="9"/>
      <c r="M129" s="9"/>
      <c r="N129" s="9"/>
    </row>
    <row r="130" spans="1:14" x14ac:dyDescent="0.3">
      <c r="A130" s="9"/>
      <c r="B130" s="9"/>
      <c r="C130" s="9"/>
      <c r="D130" s="9"/>
      <c r="E130" s="9"/>
      <c r="F130" s="9"/>
      <c r="G130" s="9"/>
      <c r="H130" s="9"/>
      <c r="I130" s="9"/>
      <c r="J130" s="9"/>
      <c r="K130" s="9"/>
      <c r="L130" s="9"/>
      <c r="M130" s="9"/>
      <c r="N130" s="9"/>
    </row>
    <row r="131" spans="1:14" x14ac:dyDescent="0.3">
      <c r="A131" s="9"/>
      <c r="B131" s="9"/>
      <c r="C131" s="9"/>
      <c r="D131" s="9"/>
      <c r="E131" s="9"/>
      <c r="F131" s="9"/>
      <c r="G131" s="9"/>
      <c r="H131" s="9"/>
      <c r="I131" s="9"/>
      <c r="J131" s="9"/>
      <c r="K131" s="9"/>
      <c r="L131" s="9"/>
      <c r="M131" s="9"/>
      <c r="N131" s="9"/>
    </row>
    <row r="132" spans="1:14" x14ac:dyDescent="0.3">
      <c r="A132" s="9"/>
      <c r="B132" s="9"/>
      <c r="C132" s="9"/>
      <c r="D132" s="9"/>
      <c r="E132" s="9"/>
      <c r="F132" s="9"/>
      <c r="G132" s="9"/>
      <c r="H132" s="9"/>
      <c r="I132" s="9"/>
      <c r="J132" s="9"/>
      <c r="K132" s="9"/>
      <c r="L132" s="9"/>
      <c r="M132" s="9"/>
      <c r="N132" s="9"/>
    </row>
    <row r="133" spans="1:14" x14ac:dyDescent="0.3">
      <c r="A133" s="9"/>
      <c r="B133" s="9"/>
      <c r="C133" s="9"/>
      <c r="D133" s="9"/>
      <c r="E133" s="9"/>
      <c r="F133" s="9"/>
      <c r="G133" s="9"/>
      <c r="H133" s="9"/>
      <c r="I133" s="9"/>
      <c r="J133" s="9"/>
      <c r="K133" s="9"/>
      <c r="L133" s="9"/>
      <c r="M133" s="9"/>
      <c r="N133" s="9"/>
    </row>
    <row r="134" spans="1:14" x14ac:dyDescent="0.3">
      <c r="A134" s="9"/>
      <c r="B134" s="9"/>
      <c r="C134" s="9"/>
      <c r="D134" s="9"/>
      <c r="E134" s="9"/>
      <c r="F134" s="9"/>
      <c r="G134" s="9"/>
      <c r="H134" s="9"/>
      <c r="I134" s="9"/>
      <c r="J134" s="9"/>
      <c r="K134" s="9"/>
      <c r="L134" s="9"/>
      <c r="M134" s="9"/>
      <c r="N134" s="9"/>
    </row>
    <row r="135" spans="1:14" x14ac:dyDescent="0.3">
      <c r="A135" s="9"/>
      <c r="B135" s="9"/>
      <c r="C135" s="9"/>
      <c r="D135" s="9"/>
      <c r="E135" s="9"/>
      <c r="F135" s="9"/>
      <c r="G135" s="9"/>
      <c r="H135" s="9"/>
      <c r="I135" s="9"/>
      <c r="J135" s="9"/>
      <c r="K135" s="9"/>
      <c r="L135" s="9"/>
      <c r="M135" s="9"/>
      <c r="N135" s="9"/>
    </row>
    <row r="136" spans="1:14" x14ac:dyDescent="0.3">
      <c r="A136" s="9"/>
      <c r="B136" s="9"/>
      <c r="C136" s="9"/>
      <c r="D136" s="9"/>
      <c r="E136" s="9"/>
      <c r="F136" s="9"/>
      <c r="G136" s="9"/>
      <c r="H136" s="9"/>
      <c r="I136" s="9"/>
      <c r="J136" s="9"/>
      <c r="K136" s="9"/>
      <c r="L136" s="9"/>
      <c r="M136" s="9"/>
      <c r="N136" s="9"/>
    </row>
    <row r="137" spans="1:14" x14ac:dyDescent="0.3">
      <c r="A137" s="9"/>
      <c r="B137" s="9"/>
      <c r="C137" s="9"/>
      <c r="D137" s="9"/>
      <c r="E137" s="9"/>
      <c r="F137" s="9"/>
      <c r="G137" s="9"/>
      <c r="H137" s="9"/>
      <c r="I137" s="9"/>
      <c r="J137" s="9"/>
      <c r="K137" s="9"/>
      <c r="L137" s="9"/>
      <c r="M137" s="9"/>
      <c r="N137" s="9"/>
    </row>
    <row r="138" spans="1:14" x14ac:dyDescent="0.3">
      <c r="A138" s="9"/>
      <c r="B138" s="9"/>
      <c r="C138" s="9"/>
      <c r="D138" s="9"/>
      <c r="E138" s="9"/>
      <c r="F138" s="9"/>
      <c r="G138" s="9"/>
      <c r="H138" s="9"/>
      <c r="I138" s="9"/>
      <c r="J138" s="9"/>
      <c r="K138" s="9"/>
      <c r="L138" s="9"/>
      <c r="M138" s="9"/>
      <c r="N138" s="9"/>
    </row>
    <row r="139" spans="1:14" x14ac:dyDescent="0.3">
      <c r="A139" s="9"/>
      <c r="B139" s="9"/>
      <c r="C139" s="9"/>
      <c r="D139" s="9"/>
      <c r="E139" s="9"/>
      <c r="F139" s="9"/>
      <c r="G139" s="9"/>
      <c r="H139" s="9"/>
      <c r="I139" s="9"/>
      <c r="J139" s="9"/>
      <c r="K139" s="9"/>
      <c r="L139" s="9"/>
      <c r="M139" s="9"/>
      <c r="N139" s="9"/>
    </row>
    <row r="140" spans="1:14" x14ac:dyDescent="0.3">
      <c r="A140" s="9"/>
      <c r="B140" s="9"/>
      <c r="C140" s="9"/>
      <c r="D140" s="9"/>
      <c r="E140" s="9"/>
      <c r="F140" s="9"/>
      <c r="G140" s="9"/>
      <c r="H140" s="9"/>
      <c r="I140" s="9"/>
      <c r="J140" s="9"/>
      <c r="K140" s="9"/>
      <c r="L140" s="9"/>
      <c r="M140" s="9"/>
      <c r="N140" s="9"/>
    </row>
    <row r="141" spans="1:14" x14ac:dyDescent="0.3">
      <c r="A141" s="9"/>
      <c r="B141" s="9"/>
      <c r="C141" s="9"/>
      <c r="D141" s="9"/>
      <c r="E141" s="9"/>
      <c r="F141" s="9"/>
      <c r="G141" s="9"/>
      <c r="H141" s="9"/>
      <c r="I141" s="9"/>
      <c r="J141" s="9"/>
      <c r="K141" s="9"/>
      <c r="L141" s="9"/>
      <c r="M141" s="9"/>
      <c r="N141" s="9"/>
    </row>
    <row r="142" spans="1:14" x14ac:dyDescent="0.3">
      <c r="A142" s="9"/>
      <c r="B142" s="9"/>
      <c r="C142" s="9"/>
      <c r="D142" s="9"/>
      <c r="E142" s="9"/>
      <c r="F142" s="9"/>
      <c r="G142" s="9"/>
      <c r="H142" s="9"/>
      <c r="I142" s="9"/>
      <c r="J142" s="9"/>
      <c r="K142" s="9"/>
      <c r="L142" s="9"/>
      <c r="M142" s="9"/>
      <c r="N142" s="9"/>
    </row>
    <row r="143" spans="1:14" x14ac:dyDescent="0.3">
      <c r="A143" s="9"/>
      <c r="B143" s="9"/>
      <c r="C143" s="9"/>
      <c r="D143" s="9"/>
      <c r="E143" s="9"/>
      <c r="F143" s="9"/>
      <c r="G143" s="9"/>
      <c r="H143" s="9"/>
      <c r="I143" s="9"/>
      <c r="J143" s="9"/>
      <c r="K143" s="9"/>
      <c r="L143" s="9"/>
      <c r="M143" s="9"/>
      <c r="N143" s="9"/>
    </row>
    <row r="144" spans="1:14" x14ac:dyDescent="0.3">
      <c r="A144" s="9"/>
      <c r="B144" s="9"/>
      <c r="C144" s="9"/>
      <c r="D144" s="9"/>
      <c r="E144" s="9"/>
      <c r="F144" s="9"/>
      <c r="G144" s="9"/>
      <c r="H144" s="9"/>
      <c r="I144" s="9"/>
      <c r="J144" s="9"/>
      <c r="K144" s="9"/>
      <c r="L144" s="9"/>
      <c r="M144" s="9"/>
      <c r="N144" s="9"/>
    </row>
    <row r="145" spans="1:14" x14ac:dyDescent="0.3">
      <c r="A145" s="9"/>
      <c r="B145" s="9"/>
      <c r="C145" s="9"/>
      <c r="D145" s="9"/>
      <c r="E145" s="9"/>
      <c r="F145" s="9"/>
      <c r="G145" s="9"/>
      <c r="H145" s="9"/>
      <c r="I145" s="9"/>
      <c r="J145" s="9"/>
      <c r="K145" s="9"/>
      <c r="L145" s="9"/>
      <c r="M145" s="9"/>
      <c r="N145" s="9"/>
    </row>
    <row r="146" spans="1:14" x14ac:dyDescent="0.3">
      <c r="A146" s="9"/>
      <c r="B146" s="9"/>
      <c r="C146" s="9"/>
      <c r="D146" s="9"/>
      <c r="E146" s="9"/>
      <c r="F146" s="9"/>
      <c r="G146" s="9"/>
      <c r="H146" s="9"/>
      <c r="I146" s="9"/>
      <c r="J146" s="9"/>
      <c r="K146" s="9"/>
      <c r="L146" s="9"/>
      <c r="M146" s="9"/>
      <c r="N146" s="9"/>
    </row>
    <row r="147" spans="1:14" x14ac:dyDescent="0.3">
      <c r="A147" s="9"/>
      <c r="B147" s="9"/>
      <c r="C147" s="9"/>
      <c r="D147" s="9"/>
      <c r="E147" s="9"/>
      <c r="F147" s="9"/>
      <c r="G147" s="9"/>
      <c r="H147" s="9"/>
      <c r="I147" s="9"/>
      <c r="J147" s="9"/>
      <c r="K147" s="9"/>
      <c r="L147" s="9"/>
      <c r="M147" s="9"/>
      <c r="N147" s="9"/>
    </row>
    <row r="148" spans="1:14" x14ac:dyDescent="0.3">
      <c r="A148" s="9"/>
      <c r="B148" s="9"/>
      <c r="C148" s="9"/>
      <c r="D148" s="9"/>
      <c r="E148" s="9"/>
      <c r="F148" s="9"/>
      <c r="G148" s="9"/>
      <c r="H148" s="9"/>
      <c r="I148" s="9"/>
      <c r="J148" s="9"/>
      <c r="K148" s="9"/>
      <c r="L148" s="9"/>
      <c r="M148" s="9"/>
      <c r="N148" s="9"/>
    </row>
    <row r="149" spans="1:14" x14ac:dyDescent="0.3">
      <c r="A149" s="9"/>
      <c r="B149" s="9"/>
      <c r="C149" s="9"/>
      <c r="D149" s="9"/>
      <c r="E149" s="9"/>
      <c r="F149" s="9"/>
      <c r="G149" s="9"/>
      <c r="H149" s="9"/>
      <c r="I149" s="9"/>
      <c r="J149" s="9"/>
      <c r="K149" s="9"/>
      <c r="L149" s="9"/>
      <c r="M149" s="9"/>
      <c r="N149" s="9"/>
    </row>
    <row r="150" spans="1:14" x14ac:dyDescent="0.3">
      <c r="A150" s="9"/>
      <c r="B150" s="9"/>
      <c r="C150" s="9"/>
      <c r="D150" s="9"/>
      <c r="E150" s="9"/>
      <c r="F150" s="9"/>
      <c r="G150" s="9"/>
      <c r="H150" s="9"/>
      <c r="I150" s="9"/>
      <c r="J150" s="9"/>
      <c r="K150" s="9"/>
      <c r="L150" s="9"/>
      <c r="M150" s="9"/>
      <c r="N150" s="9"/>
    </row>
    <row r="151" spans="1:14" x14ac:dyDescent="0.3">
      <c r="A151" s="9"/>
      <c r="B151" s="9"/>
      <c r="C151" s="9"/>
      <c r="D151" s="9"/>
      <c r="E151" s="9"/>
      <c r="F151" s="9"/>
      <c r="G151" s="9"/>
      <c r="H151" s="9"/>
      <c r="I151" s="9"/>
      <c r="J151" s="9"/>
      <c r="K151" s="9"/>
      <c r="L151" s="9"/>
      <c r="M151" s="9"/>
      <c r="N151" s="9"/>
    </row>
    <row r="152" spans="1:14" x14ac:dyDescent="0.3">
      <c r="A152" s="9"/>
      <c r="B152" s="9"/>
      <c r="C152" s="9"/>
      <c r="D152" s="9"/>
      <c r="E152" s="9"/>
      <c r="F152" s="9"/>
      <c r="G152" s="9"/>
      <c r="H152" s="9"/>
      <c r="I152" s="9"/>
      <c r="J152" s="9"/>
      <c r="K152" s="9"/>
      <c r="L152" s="9"/>
      <c r="M152" s="9"/>
      <c r="N152" s="9"/>
    </row>
    <row r="153" spans="1:14" x14ac:dyDescent="0.3">
      <c r="A153" s="9"/>
      <c r="B153" s="9"/>
      <c r="C153" s="9"/>
      <c r="D153" s="9"/>
      <c r="E153" s="9"/>
      <c r="F153" s="9"/>
      <c r="G153" s="9"/>
      <c r="H153" s="9"/>
      <c r="I153" s="9"/>
      <c r="J153" s="9"/>
      <c r="K153" s="9"/>
      <c r="L153" s="9"/>
      <c r="M153" s="9"/>
      <c r="N153" s="9"/>
    </row>
    <row r="154" spans="1:14" x14ac:dyDescent="0.3">
      <c r="A154" s="9"/>
      <c r="B154" s="9"/>
      <c r="C154" s="9"/>
      <c r="D154" s="9"/>
      <c r="E154" s="9"/>
      <c r="F154" s="9"/>
      <c r="G154" s="9"/>
      <c r="H154" s="9"/>
      <c r="I154" s="9"/>
      <c r="J154" s="9"/>
      <c r="K154" s="9"/>
      <c r="L154" s="9"/>
      <c r="M154" s="9"/>
      <c r="N154" s="9"/>
    </row>
    <row r="155" spans="1:14" x14ac:dyDescent="0.3">
      <c r="A155" s="9"/>
      <c r="B155" s="9"/>
      <c r="C155" s="9"/>
      <c r="D155" s="9"/>
      <c r="E155" s="9"/>
      <c r="F155" s="9"/>
      <c r="G155" s="9"/>
      <c r="H155" s="9"/>
      <c r="I155" s="9"/>
      <c r="J155" s="9"/>
      <c r="K155" s="9"/>
      <c r="L155" s="9"/>
      <c r="M155" s="9"/>
      <c r="N155" s="9"/>
    </row>
    <row r="156" spans="1:14" x14ac:dyDescent="0.3">
      <c r="A156" s="9"/>
      <c r="B156" s="9"/>
      <c r="C156" s="9"/>
      <c r="D156" s="9"/>
      <c r="E156" s="9"/>
      <c r="F156" s="9"/>
      <c r="G156" s="9"/>
      <c r="H156" s="9"/>
      <c r="I156" s="9"/>
      <c r="J156" s="9"/>
      <c r="K156" s="9"/>
      <c r="L156" s="9"/>
      <c r="M156" s="9"/>
      <c r="N156" s="9"/>
    </row>
    <row r="157" spans="1:14" x14ac:dyDescent="0.3">
      <c r="A157" s="9"/>
      <c r="B157" s="9"/>
      <c r="C157" s="9"/>
      <c r="D157" s="9"/>
      <c r="E157" s="9"/>
      <c r="F157" s="9"/>
      <c r="G157" s="9"/>
      <c r="H157" s="9"/>
      <c r="I157" s="9"/>
      <c r="J157" s="9"/>
      <c r="K157" s="9"/>
      <c r="L157" s="9"/>
      <c r="M157" s="9"/>
      <c r="N157" s="9"/>
    </row>
    <row r="158" spans="1:14" x14ac:dyDescent="0.3">
      <c r="A158" s="9"/>
      <c r="B158" s="9"/>
      <c r="C158" s="9"/>
      <c r="D158" s="9"/>
      <c r="E158" s="9"/>
      <c r="F158" s="9"/>
      <c r="G158" s="9"/>
      <c r="H158" s="9"/>
      <c r="I158" s="9"/>
      <c r="J158" s="9"/>
      <c r="K158" s="9"/>
      <c r="L158" s="9"/>
      <c r="M158" s="9"/>
      <c r="N158" s="9"/>
    </row>
    <row r="159" spans="1:14" x14ac:dyDescent="0.3">
      <c r="A159" s="9"/>
      <c r="B159" s="9"/>
      <c r="C159" s="9"/>
      <c r="D159" s="9"/>
      <c r="E159" s="9"/>
      <c r="F159" s="9"/>
      <c r="G159" s="9"/>
      <c r="H159" s="9"/>
      <c r="I159" s="9"/>
      <c r="J159" s="9"/>
      <c r="K159" s="9"/>
      <c r="L159" s="9"/>
      <c r="M159" s="9"/>
      <c r="N159" s="9"/>
    </row>
    <row r="160" spans="1:14" x14ac:dyDescent="0.3">
      <c r="A160" s="9"/>
      <c r="B160" s="9"/>
      <c r="C160" s="9"/>
      <c r="D160" s="9"/>
      <c r="E160" s="9"/>
      <c r="F160" s="9"/>
      <c r="G160" s="9"/>
      <c r="H160" s="9"/>
      <c r="I160" s="9"/>
      <c r="J160" s="9"/>
      <c r="K160" s="9"/>
      <c r="L160" s="9"/>
      <c r="M160" s="9"/>
      <c r="N160" s="9"/>
    </row>
    <row r="161" spans="1:14" x14ac:dyDescent="0.3">
      <c r="A161" s="9"/>
      <c r="B161" s="9"/>
      <c r="C161" s="9"/>
      <c r="D161" s="9"/>
      <c r="E161" s="9"/>
      <c r="F161" s="9"/>
      <c r="G161" s="9"/>
      <c r="H161" s="9"/>
      <c r="I161" s="9"/>
      <c r="J161" s="9"/>
      <c r="K161" s="9"/>
      <c r="L161" s="9"/>
      <c r="M161" s="9"/>
      <c r="N161" s="9"/>
    </row>
    <row r="162" spans="1:14" x14ac:dyDescent="0.3">
      <c r="A162" s="9"/>
      <c r="B162" s="9"/>
      <c r="C162" s="9"/>
      <c r="D162" s="9"/>
      <c r="E162" s="9"/>
      <c r="F162" s="9"/>
      <c r="G162" s="9"/>
      <c r="H162" s="9"/>
      <c r="I162" s="9"/>
      <c r="J162" s="9"/>
      <c r="K162" s="9"/>
      <c r="L162" s="9"/>
      <c r="M162" s="9"/>
      <c r="N162" s="9"/>
    </row>
    <row r="163" spans="1:14" x14ac:dyDescent="0.3">
      <c r="A163" s="9"/>
      <c r="B163" s="9"/>
      <c r="C163" s="9"/>
      <c r="D163" s="9"/>
      <c r="E163" s="9"/>
      <c r="F163" s="9"/>
      <c r="G163" s="9"/>
      <c r="H163" s="9"/>
      <c r="I163" s="9"/>
      <c r="J163" s="9"/>
      <c r="K163" s="9"/>
      <c r="L163" s="9"/>
      <c r="M163" s="9"/>
      <c r="N163" s="9"/>
    </row>
    <row r="164" spans="1:14" x14ac:dyDescent="0.3">
      <c r="A164" s="9"/>
      <c r="B164" s="9"/>
      <c r="C164" s="9"/>
      <c r="D164" s="9"/>
      <c r="E164" s="9"/>
      <c r="F164" s="9"/>
      <c r="G164" s="9"/>
      <c r="H164" s="9"/>
      <c r="I164" s="9"/>
      <c r="J164" s="9"/>
      <c r="K164" s="9"/>
      <c r="L164" s="9"/>
      <c r="M164" s="9"/>
      <c r="N164" s="9"/>
    </row>
    <row r="165" spans="1:14" x14ac:dyDescent="0.3">
      <c r="A165" s="9"/>
      <c r="B165" s="9"/>
      <c r="C165" s="9"/>
      <c r="D165" s="9"/>
      <c r="E165" s="9"/>
      <c r="F165" s="9"/>
      <c r="G165" s="9"/>
      <c r="H165" s="9"/>
      <c r="I165" s="9"/>
      <c r="J165" s="9"/>
      <c r="K165" s="9"/>
      <c r="L165" s="9"/>
      <c r="M165" s="9"/>
      <c r="N165" s="9"/>
    </row>
    <row r="166" spans="1:14" x14ac:dyDescent="0.3">
      <c r="A166" s="9"/>
      <c r="B166" s="9"/>
      <c r="C166" s="9"/>
      <c r="D166" s="9"/>
      <c r="E166" s="9"/>
      <c r="F166" s="9"/>
      <c r="G166" s="9"/>
      <c r="H166" s="9"/>
      <c r="I166" s="9"/>
      <c r="J166" s="9"/>
      <c r="K166" s="9"/>
      <c r="L166" s="9"/>
      <c r="M166" s="9"/>
      <c r="N166" s="9"/>
    </row>
    <row r="167" spans="1:14" x14ac:dyDescent="0.3">
      <c r="A167" s="9"/>
      <c r="B167" s="9"/>
      <c r="C167" s="9"/>
      <c r="D167" s="9"/>
      <c r="E167" s="9"/>
      <c r="F167" s="9"/>
      <c r="G167" s="9"/>
      <c r="H167" s="9"/>
      <c r="I167" s="9"/>
      <c r="J167" s="9"/>
      <c r="K167" s="9"/>
      <c r="L167" s="9"/>
      <c r="M167" s="9"/>
      <c r="N167" s="9"/>
    </row>
    <row r="168" spans="1:14" x14ac:dyDescent="0.3">
      <c r="A168" s="9"/>
      <c r="B168" s="9"/>
      <c r="C168" s="9"/>
      <c r="D168" s="9"/>
      <c r="E168" s="9"/>
      <c r="F168" s="9"/>
      <c r="G168" s="9"/>
      <c r="H168" s="9"/>
      <c r="I168" s="9"/>
      <c r="J168" s="9"/>
      <c r="K168" s="9"/>
      <c r="L168" s="9"/>
      <c r="M168" s="9"/>
      <c r="N168" s="9"/>
    </row>
    <row r="169" spans="1:14" x14ac:dyDescent="0.3">
      <c r="A169" s="9"/>
      <c r="B169" s="9"/>
      <c r="C169" s="9"/>
      <c r="D169" s="9"/>
      <c r="E169" s="9"/>
      <c r="F169" s="9"/>
      <c r="G169" s="9"/>
      <c r="H169" s="9"/>
      <c r="I169" s="9"/>
      <c r="J169" s="9"/>
      <c r="K169" s="9"/>
      <c r="L169" s="9"/>
      <c r="M169" s="9"/>
      <c r="N169" s="9"/>
    </row>
    <row r="170" spans="1:14" x14ac:dyDescent="0.3">
      <c r="A170" s="9"/>
      <c r="B170" s="9"/>
      <c r="C170" s="9"/>
      <c r="D170" s="9"/>
      <c r="E170" s="9"/>
      <c r="F170" s="9"/>
      <c r="G170" s="9"/>
      <c r="H170" s="9"/>
      <c r="I170" s="9"/>
      <c r="J170" s="9"/>
      <c r="K170" s="9"/>
      <c r="L170" s="9"/>
      <c r="M170" s="9"/>
      <c r="N170" s="9"/>
    </row>
    <row r="171" spans="1:14" x14ac:dyDescent="0.3">
      <c r="A171" s="9"/>
      <c r="B171" s="9"/>
      <c r="C171" s="9"/>
      <c r="D171" s="9"/>
      <c r="E171" s="9"/>
      <c r="F171" s="9"/>
      <c r="G171" s="9"/>
      <c r="H171" s="9"/>
      <c r="I171" s="9"/>
      <c r="J171" s="9"/>
      <c r="K171" s="9"/>
      <c r="L171" s="9"/>
      <c r="M171" s="9"/>
      <c r="N171" s="9"/>
    </row>
    <row r="172" spans="1:14" x14ac:dyDescent="0.3">
      <c r="A172" s="9"/>
      <c r="B172" s="9"/>
      <c r="C172" s="9"/>
      <c r="D172" s="9"/>
      <c r="E172" s="9"/>
      <c r="F172" s="9"/>
      <c r="G172" s="9"/>
      <c r="H172" s="9"/>
      <c r="I172" s="9"/>
      <c r="J172" s="9"/>
      <c r="K172" s="9"/>
      <c r="L172" s="9"/>
      <c r="M172" s="9"/>
      <c r="N172" s="9"/>
    </row>
    <row r="173" spans="1:14" x14ac:dyDescent="0.3">
      <c r="A173" s="9"/>
      <c r="B173" s="9"/>
      <c r="C173" s="9"/>
      <c r="D173" s="9"/>
      <c r="E173" s="9"/>
      <c r="F173" s="9"/>
      <c r="G173" s="9"/>
      <c r="H173" s="9"/>
      <c r="I173" s="9"/>
      <c r="J173" s="9"/>
      <c r="K173" s="9"/>
      <c r="L173" s="9"/>
      <c r="M173" s="9"/>
      <c r="N173" s="9"/>
    </row>
    <row r="174" spans="1:14" x14ac:dyDescent="0.3">
      <c r="A174" s="9"/>
      <c r="B174" s="9"/>
      <c r="C174" s="9"/>
      <c r="D174" s="9"/>
      <c r="E174" s="9"/>
      <c r="F174" s="9"/>
      <c r="G174" s="9"/>
      <c r="H174" s="9"/>
      <c r="I174" s="9"/>
      <c r="J174" s="9"/>
      <c r="K174" s="9"/>
      <c r="L174" s="9"/>
      <c r="M174" s="9"/>
      <c r="N174" s="9"/>
    </row>
    <row r="175" spans="1:14" x14ac:dyDescent="0.3">
      <c r="A175" s="9"/>
      <c r="B175" s="9"/>
      <c r="C175" s="9"/>
      <c r="D175" s="9"/>
      <c r="E175" s="9"/>
      <c r="F175" s="9"/>
      <c r="G175" s="9"/>
      <c r="H175" s="9"/>
      <c r="I175" s="9"/>
      <c r="J175" s="9"/>
      <c r="K175" s="9"/>
      <c r="L175" s="9"/>
      <c r="M175" s="9"/>
      <c r="N175" s="9"/>
    </row>
    <row r="176" spans="1:14" x14ac:dyDescent="0.3">
      <c r="A176" s="9"/>
      <c r="B176" s="9"/>
      <c r="C176" s="9"/>
      <c r="D176" s="9"/>
      <c r="E176" s="9"/>
      <c r="F176" s="9"/>
      <c r="G176" s="9"/>
      <c r="H176" s="9"/>
      <c r="I176" s="9"/>
      <c r="J176" s="9"/>
      <c r="K176" s="9"/>
      <c r="L176" s="9"/>
      <c r="M176" s="9"/>
      <c r="N176" s="9"/>
    </row>
    <row r="177" spans="1:14" x14ac:dyDescent="0.3">
      <c r="A177" s="9"/>
      <c r="B177" s="9"/>
      <c r="C177" s="9"/>
      <c r="D177" s="9"/>
      <c r="E177" s="9"/>
      <c r="F177" s="9"/>
      <c r="G177" s="9"/>
      <c r="H177" s="9"/>
      <c r="I177" s="9"/>
      <c r="J177" s="9"/>
      <c r="K177" s="9"/>
      <c r="L177" s="9"/>
      <c r="M177" s="9"/>
      <c r="N177" s="9"/>
    </row>
    <row r="178" spans="1:14" x14ac:dyDescent="0.3">
      <c r="A178" s="9"/>
      <c r="B178" s="9"/>
      <c r="C178" s="9"/>
      <c r="D178" s="9"/>
      <c r="E178" s="9"/>
      <c r="F178" s="9"/>
      <c r="G178" s="9"/>
      <c r="H178" s="9"/>
      <c r="I178" s="9"/>
      <c r="J178" s="9"/>
      <c r="K178" s="9"/>
      <c r="L178" s="9"/>
      <c r="M178" s="9"/>
      <c r="N178" s="9"/>
    </row>
    <row r="179" spans="1:14" x14ac:dyDescent="0.3">
      <c r="A179" s="9"/>
      <c r="B179" s="9"/>
      <c r="C179" s="9"/>
      <c r="D179" s="9"/>
      <c r="E179" s="9"/>
      <c r="F179" s="9"/>
      <c r="G179" s="9"/>
      <c r="H179" s="9"/>
      <c r="I179" s="9"/>
      <c r="J179" s="9"/>
      <c r="K179" s="9"/>
      <c r="L179" s="9"/>
      <c r="M179" s="9"/>
      <c r="N179" s="9"/>
    </row>
    <row r="180" spans="1:14" x14ac:dyDescent="0.3">
      <c r="A180" s="9"/>
      <c r="B180" s="9"/>
      <c r="C180" s="9"/>
      <c r="D180" s="9"/>
      <c r="E180" s="9"/>
      <c r="F180" s="9"/>
      <c r="G180" s="9"/>
      <c r="H180" s="9"/>
      <c r="I180" s="9"/>
      <c r="J180" s="9"/>
      <c r="K180" s="9"/>
      <c r="L180" s="9"/>
      <c r="M180" s="9"/>
      <c r="N180" s="9"/>
    </row>
    <row r="181" spans="1:14" x14ac:dyDescent="0.3">
      <c r="A181" s="9"/>
      <c r="B181" s="9"/>
      <c r="C181" s="9"/>
      <c r="D181" s="9"/>
      <c r="E181" s="9"/>
      <c r="F181" s="9"/>
      <c r="G181" s="9"/>
      <c r="H181" s="9"/>
      <c r="I181" s="9"/>
      <c r="J181" s="9"/>
      <c r="K181" s="9"/>
      <c r="L181" s="9"/>
      <c r="M181" s="9"/>
      <c r="N181" s="9"/>
    </row>
    <row r="182" spans="1:14" x14ac:dyDescent="0.3">
      <c r="A182" s="9"/>
      <c r="B182" s="9"/>
      <c r="C182" s="9"/>
      <c r="D182" s="9"/>
      <c r="E182" s="9"/>
      <c r="F182" s="9"/>
      <c r="G182" s="9"/>
      <c r="H182" s="9"/>
      <c r="I182" s="9"/>
      <c r="J182" s="9"/>
      <c r="K182" s="9"/>
      <c r="L182" s="9"/>
      <c r="M182" s="9"/>
      <c r="N182" s="9"/>
    </row>
    <row r="183" spans="1:14" x14ac:dyDescent="0.3">
      <c r="A183" s="9"/>
      <c r="B183" s="9"/>
      <c r="C183" s="9"/>
      <c r="D183" s="9"/>
      <c r="E183" s="9"/>
      <c r="F183" s="9"/>
      <c r="G183" s="9"/>
      <c r="H183" s="9"/>
      <c r="I183" s="9"/>
      <c r="J183" s="9"/>
      <c r="K183" s="9"/>
      <c r="L183" s="9"/>
      <c r="M183" s="9"/>
      <c r="N183" s="9"/>
    </row>
    <row r="184" spans="1:14" x14ac:dyDescent="0.3">
      <c r="A184" s="9"/>
      <c r="B184" s="9"/>
      <c r="C184" s="9"/>
      <c r="D184" s="9"/>
      <c r="E184" s="9"/>
      <c r="F184" s="9"/>
      <c r="G184" s="9"/>
      <c r="H184" s="9"/>
      <c r="I184" s="9"/>
      <c r="J184" s="9"/>
      <c r="K184" s="9"/>
      <c r="L184" s="9"/>
      <c r="M184" s="9"/>
      <c r="N184" s="9"/>
    </row>
    <row r="185" spans="1:14" x14ac:dyDescent="0.3">
      <c r="A185" s="9"/>
      <c r="B185" s="9"/>
      <c r="C185" s="9"/>
      <c r="D185" s="9"/>
      <c r="E185" s="9"/>
      <c r="F185" s="9"/>
      <c r="G185" s="9"/>
      <c r="H185" s="9"/>
      <c r="I185" s="9"/>
      <c r="J185" s="9"/>
      <c r="K185" s="9"/>
      <c r="L185" s="9"/>
      <c r="M185" s="9"/>
      <c r="N185" s="9"/>
    </row>
    <row r="186" spans="1:14" x14ac:dyDescent="0.3">
      <c r="A186" s="9"/>
      <c r="B186" s="9"/>
      <c r="C186" s="9"/>
      <c r="D186" s="9"/>
      <c r="E186" s="9"/>
      <c r="F186" s="9"/>
      <c r="G186" s="9"/>
      <c r="H186" s="9"/>
      <c r="I186" s="9"/>
      <c r="J186" s="9"/>
      <c r="K186" s="9"/>
      <c r="L186" s="9"/>
      <c r="M186" s="9"/>
      <c r="N186" s="9"/>
    </row>
    <row r="187" spans="1:14" x14ac:dyDescent="0.3">
      <c r="A187" s="9"/>
      <c r="B187" s="9"/>
      <c r="C187" s="9"/>
      <c r="D187" s="9"/>
      <c r="E187" s="9"/>
      <c r="F187" s="9"/>
      <c r="G187" s="9"/>
      <c r="H187" s="9"/>
      <c r="I187" s="9"/>
      <c r="J187" s="9"/>
      <c r="K187" s="9"/>
      <c r="L187" s="9"/>
      <c r="M187" s="9"/>
      <c r="N187" s="9"/>
    </row>
    <row r="188" spans="1:14" x14ac:dyDescent="0.3">
      <c r="A188" s="9"/>
      <c r="B188" s="9"/>
      <c r="C188" s="9"/>
      <c r="D188" s="9"/>
      <c r="E188" s="9"/>
      <c r="F188" s="9"/>
      <c r="G188" s="9"/>
      <c r="H188" s="9"/>
      <c r="I188" s="9"/>
      <c r="J188" s="9"/>
      <c r="K188" s="9"/>
      <c r="L188" s="9"/>
      <c r="M188" s="9"/>
      <c r="N188" s="9"/>
    </row>
    <row r="189" spans="1:14" x14ac:dyDescent="0.3">
      <c r="A189" s="9"/>
      <c r="B189" s="9"/>
      <c r="C189" s="9"/>
      <c r="D189" s="9"/>
      <c r="E189" s="9"/>
      <c r="F189" s="9"/>
      <c r="G189" s="9"/>
      <c r="H189" s="9"/>
      <c r="I189" s="9"/>
      <c r="J189" s="9"/>
      <c r="K189" s="9"/>
      <c r="L189" s="9"/>
      <c r="M189" s="9"/>
      <c r="N189" s="9"/>
    </row>
    <row r="190" spans="1:14" x14ac:dyDescent="0.3">
      <c r="A190" s="9"/>
      <c r="B190" s="9"/>
      <c r="C190" s="9"/>
      <c r="D190" s="9"/>
      <c r="E190" s="9"/>
      <c r="F190" s="9"/>
      <c r="G190" s="9"/>
      <c r="H190" s="9"/>
      <c r="I190" s="9"/>
      <c r="J190" s="9"/>
      <c r="K190" s="9"/>
      <c r="L190" s="9"/>
      <c r="M190" s="9"/>
      <c r="N190" s="9"/>
    </row>
    <row r="191" spans="1:14" x14ac:dyDescent="0.3">
      <c r="A191" s="9"/>
      <c r="B191" s="9"/>
      <c r="C191" s="9"/>
      <c r="D191" s="9"/>
      <c r="E191" s="9"/>
      <c r="F191" s="9"/>
      <c r="G191" s="9"/>
      <c r="H191" s="9"/>
      <c r="I191" s="9"/>
      <c r="J191" s="9"/>
      <c r="K191" s="9"/>
      <c r="L191" s="9"/>
      <c r="M191" s="9"/>
      <c r="N191" s="9"/>
    </row>
    <row r="192" spans="1:14" x14ac:dyDescent="0.3">
      <c r="A192" s="9"/>
      <c r="B192" s="9"/>
      <c r="C192" s="9"/>
      <c r="D192" s="9"/>
      <c r="E192" s="9"/>
      <c r="F192" s="9"/>
      <c r="G192" s="9"/>
      <c r="H192" s="9"/>
      <c r="I192" s="9"/>
      <c r="J192" s="9"/>
      <c r="K192" s="9"/>
      <c r="L192" s="9"/>
      <c r="M192" s="9"/>
      <c r="N192" s="9"/>
    </row>
    <row r="193" spans="1:14" x14ac:dyDescent="0.3">
      <c r="A193" s="9"/>
      <c r="B193" s="9"/>
      <c r="C193" s="9"/>
      <c r="D193" s="9"/>
      <c r="E193" s="9"/>
      <c r="F193" s="9"/>
      <c r="G193" s="9"/>
      <c r="H193" s="9"/>
      <c r="I193" s="9"/>
      <c r="J193" s="9"/>
      <c r="K193" s="9"/>
      <c r="L193" s="9"/>
      <c r="M193" s="9"/>
      <c r="N193" s="9"/>
    </row>
    <row r="194" spans="1:14" x14ac:dyDescent="0.3">
      <c r="A194" s="9"/>
      <c r="B194" s="9"/>
      <c r="C194" s="9"/>
      <c r="D194" s="9"/>
      <c r="E194" s="9"/>
      <c r="F194" s="9"/>
      <c r="G194" s="9"/>
      <c r="H194" s="9"/>
      <c r="I194" s="9"/>
      <c r="J194" s="9"/>
      <c r="K194" s="9"/>
      <c r="L194" s="9"/>
      <c r="M194" s="9"/>
      <c r="N194" s="9"/>
    </row>
    <row r="195" spans="1:14" x14ac:dyDescent="0.3">
      <c r="A195" s="9"/>
      <c r="B195" s="9"/>
      <c r="C195" s="9"/>
      <c r="D195" s="9"/>
      <c r="E195" s="9"/>
      <c r="F195" s="9"/>
      <c r="G195" s="9"/>
      <c r="H195" s="9"/>
      <c r="I195" s="9"/>
      <c r="J195" s="9"/>
      <c r="K195" s="9"/>
      <c r="L195" s="9"/>
      <c r="M195" s="9"/>
      <c r="N195" s="9"/>
    </row>
    <row r="196" spans="1:14" x14ac:dyDescent="0.3">
      <c r="A196" s="9"/>
      <c r="B196" s="9"/>
      <c r="C196" s="9"/>
      <c r="D196" s="9"/>
      <c r="E196" s="9"/>
      <c r="F196" s="9"/>
      <c r="G196" s="9"/>
      <c r="H196" s="9"/>
      <c r="I196" s="9"/>
      <c r="J196" s="9"/>
      <c r="K196" s="9"/>
      <c r="L196" s="9"/>
      <c r="M196" s="9"/>
      <c r="N196" s="9"/>
    </row>
    <row r="197" spans="1:14" x14ac:dyDescent="0.3">
      <c r="A197" s="9"/>
      <c r="B197" s="9"/>
      <c r="C197" s="9"/>
      <c r="D197" s="9"/>
      <c r="E197" s="9"/>
      <c r="F197" s="9"/>
      <c r="G197" s="9"/>
      <c r="H197" s="9"/>
      <c r="I197" s="9"/>
      <c r="J197" s="9"/>
      <c r="K197" s="9"/>
      <c r="L197" s="9"/>
      <c r="M197" s="9"/>
      <c r="N197" s="9"/>
    </row>
    <row r="198" spans="1:14" x14ac:dyDescent="0.3">
      <c r="A198" s="9"/>
      <c r="B198" s="9"/>
      <c r="C198" s="9"/>
      <c r="D198" s="9"/>
      <c r="E198" s="9"/>
      <c r="F198" s="9"/>
      <c r="G198" s="9"/>
      <c r="H198" s="9"/>
      <c r="I198" s="9"/>
      <c r="J198" s="9"/>
      <c r="K198" s="9"/>
      <c r="L198" s="9"/>
      <c r="M198" s="9"/>
      <c r="N198" s="9"/>
    </row>
    <row r="199" spans="1:14" x14ac:dyDescent="0.3">
      <c r="A199" s="9"/>
      <c r="B199" s="9"/>
      <c r="C199" s="9"/>
      <c r="D199" s="9"/>
      <c r="E199" s="9"/>
      <c r="F199" s="9"/>
      <c r="G199" s="9"/>
      <c r="H199" s="9"/>
      <c r="I199" s="9"/>
      <c r="J199" s="9"/>
      <c r="K199" s="9"/>
      <c r="L199" s="9"/>
      <c r="M199" s="9"/>
      <c r="N199" s="9"/>
    </row>
    <row r="200" spans="1:14" x14ac:dyDescent="0.3">
      <c r="A200" s="9"/>
      <c r="B200" s="9"/>
      <c r="C200" s="9"/>
      <c r="D200" s="9"/>
      <c r="E200" s="9"/>
      <c r="F200" s="9"/>
      <c r="G200" s="9"/>
      <c r="H200" s="9"/>
      <c r="I200" s="9"/>
      <c r="J200" s="9"/>
      <c r="K200" s="9"/>
      <c r="L200" s="9"/>
      <c r="M200" s="9"/>
      <c r="N200" s="9"/>
    </row>
    <row r="201" spans="1:14" x14ac:dyDescent="0.3">
      <c r="A201" s="9"/>
      <c r="B201" s="9"/>
      <c r="C201" s="9"/>
      <c r="D201" s="9"/>
      <c r="E201" s="9"/>
      <c r="F201" s="9"/>
      <c r="G201" s="9"/>
      <c r="H201" s="9"/>
      <c r="I201" s="9"/>
      <c r="J201" s="9"/>
      <c r="K201" s="9"/>
      <c r="L201" s="9"/>
      <c r="M201" s="9"/>
      <c r="N201" s="9"/>
    </row>
    <row r="202" spans="1:14" x14ac:dyDescent="0.3">
      <c r="A202" s="9"/>
      <c r="B202" s="9"/>
      <c r="C202" s="9"/>
      <c r="D202" s="9"/>
      <c r="E202" s="9"/>
      <c r="F202" s="9"/>
      <c r="G202" s="9"/>
      <c r="H202" s="9"/>
      <c r="I202" s="9"/>
      <c r="J202" s="9"/>
      <c r="K202" s="9"/>
      <c r="L202" s="9"/>
      <c r="M202" s="9"/>
      <c r="N202" s="9"/>
    </row>
    <row r="203" spans="1:14" x14ac:dyDescent="0.3">
      <c r="A203" s="9"/>
      <c r="B203" s="9"/>
      <c r="C203" s="9"/>
      <c r="D203" s="9"/>
      <c r="E203" s="9"/>
      <c r="F203" s="9"/>
      <c r="G203" s="9"/>
      <c r="H203" s="9"/>
      <c r="I203" s="9"/>
      <c r="J203" s="9"/>
      <c r="K203" s="9"/>
      <c r="L203" s="9"/>
      <c r="M203" s="9"/>
      <c r="N203" s="9"/>
    </row>
    <row r="204" spans="1:14" x14ac:dyDescent="0.3">
      <c r="A204" s="9"/>
      <c r="B204" s="9"/>
      <c r="C204" s="9"/>
      <c r="D204" s="9"/>
      <c r="E204" s="9"/>
      <c r="F204" s="9"/>
      <c r="G204" s="9"/>
      <c r="H204" s="9"/>
      <c r="I204" s="9"/>
      <c r="J204" s="9"/>
      <c r="K204" s="9"/>
      <c r="L204" s="9"/>
      <c r="M204" s="9"/>
      <c r="N204" s="9"/>
    </row>
    <row r="205" spans="1:14" x14ac:dyDescent="0.3">
      <c r="A205" s="9"/>
      <c r="B205" s="9"/>
      <c r="C205" s="9"/>
      <c r="D205" s="9"/>
      <c r="E205" s="9"/>
      <c r="F205" s="9"/>
      <c r="G205" s="9"/>
      <c r="H205" s="9"/>
      <c r="I205" s="9"/>
      <c r="J205" s="9"/>
      <c r="K205" s="9"/>
      <c r="L205" s="9"/>
      <c r="M205" s="9"/>
      <c r="N205" s="9"/>
    </row>
    <row r="206" spans="1:14" x14ac:dyDescent="0.3">
      <c r="A206" s="9"/>
      <c r="B206" s="9"/>
      <c r="C206" s="9"/>
      <c r="D206" s="9"/>
      <c r="E206" s="9"/>
      <c r="F206" s="9"/>
      <c r="G206" s="9"/>
      <c r="H206" s="9"/>
      <c r="I206" s="9"/>
      <c r="J206" s="9"/>
      <c r="K206" s="9"/>
      <c r="L206" s="9"/>
      <c r="M206" s="9"/>
      <c r="N206" s="9"/>
    </row>
    <row r="207" spans="1:14" x14ac:dyDescent="0.3">
      <c r="A207" s="9"/>
      <c r="B207" s="9"/>
      <c r="C207" s="9"/>
      <c r="D207" s="9"/>
      <c r="E207" s="9"/>
      <c r="F207" s="9"/>
      <c r="G207" s="9"/>
      <c r="H207" s="9"/>
      <c r="I207" s="9"/>
      <c r="J207" s="9"/>
      <c r="K207" s="9"/>
      <c r="L207" s="9"/>
      <c r="M207" s="9"/>
      <c r="N207" s="9"/>
    </row>
    <row r="208" spans="1:14" x14ac:dyDescent="0.3">
      <c r="A208" s="9"/>
      <c r="B208" s="9"/>
      <c r="C208" s="9"/>
      <c r="D208" s="9"/>
      <c r="E208" s="9"/>
      <c r="F208" s="9"/>
      <c r="G208" s="9"/>
      <c r="H208" s="9"/>
      <c r="I208" s="9"/>
      <c r="J208" s="9"/>
      <c r="K208" s="9"/>
      <c r="L208" s="9"/>
      <c r="M208" s="9"/>
      <c r="N208" s="9"/>
    </row>
    <row r="209" spans="1:14" x14ac:dyDescent="0.3">
      <c r="A209" s="9"/>
      <c r="B209" s="9"/>
      <c r="C209" s="9"/>
      <c r="D209" s="9"/>
      <c r="E209" s="9"/>
      <c r="F209" s="9"/>
      <c r="G209" s="9"/>
      <c r="H209" s="9"/>
      <c r="I209" s="9"/>
      <c r="J209" s="9"/>
      <c r="K209" s="9"/>
      <c r="L209" s="9"/>
      <c r="M209" s="9"/>
      <c r="N209" s="9"/>
    </row>
    <row r="210" spans="1:14" x14ac:dyDescent="0.3">
      <c r="A210" s="9"/>
      <c r="B210" s="9"/>
      <c r="C210" s="9"/>
      <c r="D210" s="9"/>
      <c r="E210" s="9"/>
      <c r="F210" s="9"/>
      <c r="G210" s="9"/>
      <c r="H210" s="9"/>
      <c r="I210" s="9"/>
      <c r="J210" s="9"/>
      <c r="K210" s="9"/>
      <c r="L210" s="9"/>
      <c r="M210" s="9"/>
      <c r="N210" s="9"/>
    </row>
    <row r="211" spans="1:14" x14ac:dyDescent="0.3">
      <c r="A211" s="9"/>
      <c r="B211" s="9"/>
      <c r="C211" s="9"/>
      <c r="D211" s="9"/>
      <c r="E211" s="9"/>
      <c r="F211" s="9"/>
      <c r="G211" s="9"/>
      <c r="H211" s="9"/>
      <c r="I211" s="9"/>
      <c r="J211" s="9"/>
      <c r="K211" s="9"/>
      <c r="L211" s="9"/>
      <c r="M211" s="9"/>
      <c r="N211" s="9"/>
    </row>
    <row r="212" spans="1:14" x14ac:dyDescent="0.3">
      <c r="A212" s="9"/>
      <c r="B212" s="9"/>
      <c r="C212" s="9"/>
      <c r="D212" s="9"/>
      <c r="E212" s="9"/>
      <c r="F212" s="9"/>
      <c r="G212" s="9"/>
      <c r="H212" s="9"/>
      <c r="I212" s="9"/>
      <c r="J212" s="9"/>
      <c r="K212" s="9"/>
      <c r="L212" s="9"/>
      <c r="M212" s="9"/>
      <c r="N212" s="9"/>
    </row>
    <row r="213" spans="1:14" x14ac:dyDescent="0.3">
      <c r="A213" s="9"/>
      <c r="B213" s="9"/>
      <c r="C213" s="9"/>
      <c r="D213" s="9"/>
      <c r="E213" s="9"/>
      <c r="F213" s="9"/>
      <c r="G213" s="9"/>
      <c r="H213" s="9"/>
      <c r="I213" s="9"/>
      <c r="J213" s="9"/>
      <c r="K213" s="9"/>
      <c r="L213" s="9"/>
      <c r="M213" s="9"/>
      <c r="N213" s="9"/>
    </row>
    <row r="214" spans="1:14" x14ac:dyDescent="0.3">
      <c r="A214" s="9"/>
      <c r="B214" s="9"/>
      <c r="C214" s="9"/>
      <c r="D214" s="9"/>
      <c r="E214" s="9"/>
      <c r="F214" s="9"/>
      <c r="G214" s="9"/>
      <c r="H214" s="9"/>
      <c r="I214" s="9"/>
      <c r="J214" s="9"/>
      <c r="K214" s="9"/>
      <c r="L214" s="9"/>
      <c r="M214" s="9"/>
      <c r="N214" s="9"/>
    </row>
    <row r="215" spans="1:14" x14ac:dyDescent="0.3">
      <c r="A215" s="9"/>
      <c r="B215" s="9"/>
      <c r="C215" s="9"/>
      <c r="D215" s="9"/>
      <c r="E215" s="9"/>
      <c r="F215" s="9"/>
      <c r="G215" s="9"/>
      <c r="H215" s="9"/>
      <c r="I215" s="9"/>
      <c r="J215" s="9"/>
      <c r="K215" s="9"/>
      <c r="L215" s="9"/>
      <c r="M215" s="9"/>
      <c r="N215" s="9"/>
    </row>
    <row r="216" spans="1:14" x14ac:dyDescent="0.3">
      <c r="A216" s="9"/>
      <c r="B216" s="9"/>
      <c r="C216" s="9"/>
      <c r="D216" s="9"/>
      <c r="E216" s="9"/>
      <c r="F216" s="9"/>
      <c r="G216" s="9"/>
      <c r="H216" s="9"/>
      <c r="I216" s="9"/>
      <c r="J216" s="9"/>
      <c r="K216" s="9"/>
      <c r="L216" s="9"/>
      <c r="M216" s="9"/>
      <c r="N216" s="9"/>
    </row>
    <row r="217" spans="1:14" x14ac:dyDescent="0.3">
      <c r="A217" s="9"/>
      <c r="B217" s="9"/>
      <c r="C217" s="9"/>
      <c r="D217" s="9"/>
      <c r="E217" s="9"/>
      <c r="F217" s="9"/>
      <c r="G217" s="9"/>
      <c r="H217" s="9"/>
      <c r="I217" s="9"/>
      <c r="J217" s="9"/>
      <c r="K217" s="9"/>
      <c r="L217" s="9"/>
      <c r="M217" s="9"/>
      <c r="N217" s="9"/>
    </row>
    <row r="218" spans="1:14" x14ac:dyDescent="0.3">
      <c r="A218" s="9"/>
      <c r="B218" s="9"/>
      <c r="C218" s="9"/>
      <c r="D218" s="9"/>
      <c r="E218" s="9"/>
      <c r="F218" s="9"/>
      <c r="G218" s="9"/>
      <c r="H218" s="9"/>
      <c r="I218" s="9"/>
      <c r="J218" s="9"/>
      <c r="K218" s="9"/>
      <c r="L218" s="9"/>
      <c r="M218" s="9"/>
      <c r="N218" s="9"/>
    </row>
    <row r="219" spans="1:14" x14ac:dyDescent="0.3">
      <c r="A219" s="9"/>
      <c r="B219" s="9"/>
      <c r="C219" s="9"/>
      <c r="D219" s="9"/>
      <c r="E219" s="9"/>
      <c r="F219" s="9"/>
      <c r="G219" s="9"/>
      <c r="H219" s="9"/>
      <c r="I219" s="9"/>
      <c r="J219" s="9"/>
      <c r="K219" s="9"/>
      <c r="L219" s="9"/>
      <c r="M219" s="9"/>
      <c r="N219" s="9"/>
    </row>
    <row r="220" spans="1:14" x14ac:dyDescent="0.3">
      <c r="A220" s="9"/>
      <c r="B220" s="9"/>
      <c r="C220" s="9"/>
      <c r="D220" s="9"/>
      <c r="E220" s="9"/>
      <c r="F220" s="9"/>
      <c r="G220" s="9"/>
      <c r="H220" s="9"/>
      <c r="I220" s="9"/>
      <c r="J220" s="9"/>
      <c r="K220" s="9"/>
      <c r="L220" s="9"/>
      <c r="M220" s="9"/>
      <c r="N220" s="9"/>
    </row>
    <row r="221" spans="1:14" x14ac:dyDescent="0.3">
      <c r="A221" s="9"/>
      <c r="B221" s="9"/>
      <c r="C221" s="9"/>
      <c r="D221" s="9"/>
      <c r="E221" s="9"/>
      <c r="F221" s="9"/>
      <c r="G221" s="9"/>
      <c r="H221" s="9"/>
      <c r="I221" s="9"/>
      <c r="J221" s="9"/>
      <c r="K221" s="9"/>
      <c r="L221" s="9"/>
      <c r="M221" s="9"/>
      <c r="N221" s="9"/>
    </row>
    <row r="222" spans="1:14" x14ac:dyDescent="0.3">
      <c r="A222" s="9"/>
      <c r="B222" s="9"/>
      <c r="C222" s="9"/>
      <c r="D222" s="9"/>
      <c r="E222" s="9"/>
      <c r="F222" s="9"/>
      <c r="G222" s="9"/>
      <c r="H222" s="9"/>
      <c r="I222" s="9"/>
      <c r="J222" s="9"/>
      <c r="K222" s="9"/>
      <c r="L222" s="9"/>
      <c r="M222" s="9"/>
      <c r="N222" s="9"/>
    </row>
    <row r="223" spans="1:14" x14ac:dyDescent="0.3">
      <c r="A223" s="9"/>
      <c r="B223" s="9"/>
      <c r="C223" s="9"/>
      <c r="D223" s="9"/>
      <c r="E223" s="9"/>
      <c r="F223" s="9"/>
      <c r="G223" s="9"/>
      <c r="H223" s="9"/>
      <c r="I223" s="9"/>
      <c r="J223" s="9"/>
      <c r="K223" s="9"/>
      <c r="L223" s="9"/>
      <c r="M223" s="9"/>
      <c r="N223" s="9"/>
    </row>
    <row r="224" spans="1:14" x14ac:dyDescent="0.3">
      <c r="A224" s="9"/>
      <c r="B224" s="9"/>
      <c r="C224" s="9"/>
      <c r="D224" s="9"/>
      <c r="E224" s="9"/>
      <c r="F224" s="9"/>
      <c r="G224" s="9"/>
      <c r="H224" s="9"/>
      <c r="I224" s="9"/>
      <c r="J224" s="9"/>
      <c r="K224" s="9"/>
      <c r="L224" s="9"/>
      <c r="M224" s="9"/>
      <c r="N224" s="9"/>
    </row>
    <row r="225" spans="1:14" x14ac:dyDescent="0.3">
      <c r="A225" s="9"/>
      <c r="B225" s="9"/>
      <c r="C225" s="9"/>
      <c r="D225" s="9"/>
      <c r="E225" s="9"/>
      <c r="F225" s="9"/>
      <c r="G225" s="9"/>
      <c r="H225" s="9"/>
      <c r="I225" s="9"/>
      <c r="J225" s="9"/>
      <c r="K225" s="9"/>
      <c r="L225" s="9"/>
      <c r="M225" s="9"/>
      <c r="N225" s="9"/>
    </row>
    <row r="226" spans="1:14" x14ac:dyDescent="0.3">
      <c r="A226" s="9"/>
      <c r="B226" s="9"/>
      <c r="C226" s="9"/>
      <c r="D226" s="9"/>
      <c r="E226" s="9"/>
      <c r="F226" s="9"/>
      <c r="G226" s="9"/>
      <c r="H226" s="9"/>
      <c r="I226" s="9"/>
      <c r="J226" s="9"/>
      <c r="K226" s="9"/>
      <c r="L226" s="9"/>
      <c r="M226" s="9"/>
      <c r="N226" s="9"/>
    </row>
    <row r="227" spans="1:14" x14ac:dyDescent="0.3">
      <c r="A227" s="9"/>
      <c r="B227" s="9"/>
      <c r="C227" s="9"/>
      <c r="D227" s="9"/>
      <c r="E227" s="9"/>
      <c r="F227" s="9"/>
      <c r="G227" s="9"/>
      <c r="H227" s="9"/>
      <c r="I227" s="9"/>
      <c r="J227" s="9"/>
      <c r="K227" s="9"/>
      <c r="L227" s="9"/>
      <c r="M227" s="9"/>
      <c r="N227" s="9"/>
    </row>
    <row r="228" spans="1:14" x14ac:dyDescent="0.3">
      <c r="A228" s="9"/>
      <c r="B228" s="9"/>
      <c r="C228" s="9"/>
      <c r="D228" s="9"/>
      <c r="E228" s="9"/>
      <c r="F228" s="9"/>
      <c r="G228" s="9"/>
      <c r="H228" s="9"/>
      <c r="I228" s="9"/>
      <c r="J228" s="9"/>
      <c r="K228" s="9"/>
      <c r="L228" s="9"/>
      <c r="M228" s="9"/>
      <c r="N228" s="9"/>
    </row>
    <row r="229" spans="1:14" x14ac:dyDescent="0.3">
      <c r="A229" s="9"/>
      <c r="B229" s="9"/>
      <c r="C229" s="9"/>
      <c r="D229" s="9"/>
      <c r="E229" s="9"/>
      <c r="F229" s="9"/>
      <c r="G229" s="9"/>
      <c r="H229" s="9"/>
      <c r="I229" s="9"/>
      <c r="J229" s="9"/>
      <c r="K229" s="9"/>
      <c r="L229" s="9"/>
      <c r="M229" s="9"/>
      <c r="N229" s="9"/>
    </row>
    <row r="230" spans="1:14" x14ac:dyDescent="0.3">
      <c r="A230" s="9"/>
      <c r="B230" s="9"/>
      <c r="C230" s="9"/>
      <c r="D230" s="9"/>
      <c r="E230" s="9"/>
      <c r="F230" s="9"/>
      <c r="G230" s="9"/>
      <c r="H230" s="9"/>
      <c r="I230" s="9"/>
      <c r="J230" s="9"/>
      <c r="K230" s="9"/>
      <c r="L230" s="9"/>
      <c r="M230" s="9"/>
      <c r="N230" s="9"/>
    </row>
    <row r="231" spans="1:14" x14ac:dyDescent="0.3">
      <c r="A231" s="9"/>
      <c r="B231" s="9"/>
      <c r="C231" s="9"/>
      <c r="D231" s="9"/>
      <c r="E231" s="9"/>
      <c r="F231" s="9"/>
      <c r="G231" s="9"/>
      <c r="H231" s="9"/>
      <c r="I231" s="9"/>
      <c r="J231" s="9"/>
      <c r="K231" s="9"/>
      <c r="L231" s="9"/>
      <c r="M231" s="9"/>
      <c r="N231" s="9"/>
    </row>
    <row r="232" spans="1:14" x14ac:dyDescent="0.3">
      <c r="A232" s="9"/>
      <c r="B232" s="9"/>
      <c r="C232" s="9"/>
      <c r="D232" s="9"/>
      <c r="E232" s="9"/>
      <c r="F232" s="9"/>
      <c r="G232" s="9"/>
      <c r="H232" s="9"/>
      <c r="I232" s="9"/>
      <c r="J232" s="9"/>
      <c r="K232" s="9"/>
      <c r="L232" s="9"/>
      <c r="M232" s="9"/>
      <c r="N232" s="9"/>
    </row>
    <row r="233" spans="1:14" x14ac:dyDescent="0.3">
      <c r="A233" s="9"/>
      <c r="B233" s="9"/>
      <c r="C233" s="9"/>
      <c r="D233" s="9"/>
      <c r="E233" s="9"/>
      <c r="F233" s="9"/>
      <c r="G233" s="9"/>
      <c r="H233" s="9"/>
      <c r="I233" s="9"/>
      <c r="J233" s="9"/>
      <c r="K233" s="9"/>
      <c r="L233" s="9"/>
      <c r="M233" s="9"/>
      <c r="N233" s="9"/>
    </row>
    <row r="234" spans="1:14" x14ac:dyDescent="0.3">
      <c r="A234" s="9"/>
      <c r="B234" s="9"/>
      <c r="C234" s="9"/>
      <c r="D234" s="9"/>
      <c r="E234" s="9"/>
      <c r="F234" s="9"/>
      <c r="G234" s="9"/>
      <c r="H234" s="9"/>
      <c r="I234" s="9"/>
      <c r="J234" s="9"/>
      <c r="K234" s="9"/>
      <c r="L234" s="9"/>
      <c r="M234" s="9"/>
      <c r="N234" s="9"/>
    </row>
    <row r="235" spans="1:14" x14ac:dyDescent="0.3">
      <c r="A235" s="9"/>
      <c r="B235" s="9"/>
      <c r="C235" s="9"/>
      <c r="D235" s="9"/>
      <c r="E235" s="9"/>
      <c r="F235" s="9"/>
      <c r="G235" s="9"/>
      <c r="H235" s="9"/>
      <c r="I235" s="9"/>
      <c r="J235" s="9"/>
      <c r="K235" s="9"/>
      <c r="L235" s="9"/>
      <c r="M235" s="9"/>
      <c r="N235" s="9"/>
    </row>
    <row r="236" spans="1:14" x14ac:dyDescent="0.3">
      <c r="A236" s="9"/>
      <c r="B236" s="9"/>
      <c r="C236" s="9"/>
      <c r="D236" s="9"/>
      <c r="E236" s="9"/>
      <c r="F236" s="9"/>
      <c r="G236" s="9"/>
      <c r="H236" s="9"/>
      <c r="I236" s="9"/>
      <c r="J236" s="9"/>
      <c r="K236" s="9"/>
      <c r="L236" s="9"/>
      <c r="M236" s="9"/>
      <c r="N236" s="9"/>
    </row>
    <row r="237" spans="1:14" x14ac:dyDescent="0.3">
      <c r="A237" s="9"/>
      <c r="B237" s="9"/>
      <c r="C237" s="9"/>
      <c r="D237" s="9"/>
      <c r="E237" s="9"/>
      <c r="F237" s="9"/>
      <c r="G237" s="9"/>
      <c r="H237" s="9"/>
      <c r="I237" s="9"/>
      <c r="J237" s="9"/>
      <c r="K237" s="9"/>
      <c r="L237" s="9"/>
      <c r="M237" s="9"/>
      <c r="N237" s="9"/>
    </row>
    <row r="238" spans="1:14" x14ac:dyDescent="0.3">
      <c r="A238" s="9"/>
      <c r="B238" s="9"/>
      <c r="C238" s="9"/>
      <c r="D238" s="9"/>
      <c r="E238" s="9"/>
      <c r="F238" s="9"/>
      <c r="G238" s="9"/>
      <c r="H238" s="9"/>
      <c r="I238" s="9"/>
      <c r="J238" s="9"/>
      <c r="K238" s="9"/>
      <c r="L238" s="9"/>
      <c r="M238" s="9"/>
      <c r="N238" s="9"/>
    </row>
    <row r="239" spans="1:14" x14ac:dyDescent="0.3">
      <c r="A239" s="9"/>
      <c r="B239" s="9"/>
      <c r="C239" s="9"/>
      <c r="D239" s="9"/>
      <c r="E239" s="9"/>
      <c r="F239" s="9"/>
      <c r="G239" s="9"/>
      <c r="H239" s="9"/>
      <c r="I239" s="9"/>
      <c r="J239" s="9"/>
      <c r="K239" s="9"/>
      <c r="L239" s="9"/>
      <c r="M239" s="9"/>
      <c r="N239" s="9"/>
    </row>
    <row r="240" spans="1:14" x14ac:dyDescent="0.3">
      <c r="A240" s="9"/>
      <c r="B240" s="9"/>
      <c r="C240" s="9"/>
      <c r="D240" s="9"/>
      <c r="E240" s="9"/>
      <c r="F240" s="9"/>
      <c r="G240" s="9"/>
      <c r="H240" s="9"/>
      <c r="I240" s="9"/>
      <c r="J240" s="9"/>
      <c r="K240" s="9"/>
      <c r="L240" s="9"/>
      <c r="M240" s="9"/>
      <c r="N240" s="9"/>
    </row>
    <row r="241" spans="1:14" x14ac:dyDescent="0.3">
      <c r="A241" s="9"/>
      <c r="B241" s="9"/>
      <c r="C241" s="9"/>
      <c r="D241" s="9"/>
      <c r="E241" s="9"/>
      <c r="F241" s="9"/>
      <c r="G241" s="9"/>
      <c r="H241" s="9"/>
      <c r="I241" s="9"/>
      <c r="J241" s="9"/>
      <c r="K241" s="9"/>
      <c r="L241" s="9"/>
      <c r="M241" s="9"/>
      <c r="N241" s="9"/>
    </row>
    <row r="242" spans="1:14" x14ac:dyDescent="0.3">
      <c r="A242" s="9"/>
      <c r="B242" s="9"/>
      <c r="C242" s="9"/>
      <c r="D242" s="9"/>
      <c r="E242" s="9"/>
      <c r="F242" s="9"/>
      <c r="G242" s="9"/>
      <c r="H242" s="9"/>
      <c r="I242" s="9"/>
      <c r="J242" s="9"/>
      <c r="K242" s="9"/>
      <c r="L242" s="9"/>
      <c r="M242" s="9"/>
      <c r="N242" s="9"/>
    </row>
    <row r="243" spans="1:14" x14ac:dyDescent="0.3">
      <c r="A243" s="9"/>
      <c r="B243" s="9"/>
      <c r="C243" s="9"/>
      <c r="D243" s="9"/>
      <c r="E243" s="9"/>
      <c r="F243" s="9"/>
      <c r="G243" s="9"/>
      <c r="H243" s="9"/>
      <c r="I243" s="9"/>
      <c r="J243" s="9"/>
      <c r="K243" s="9"/>
      <c r="L243" s="9"/>
      <c r="M243" s="9"/>
      <c r="N243" s="9"/>
    </row>
    <row r="244" spans="1:14" x14ac:dyDescent="0.3">
      <c r="A244" s="9"/>
      <c r="B244" s="9"/>
      <c r="C244" s="9"/>
      <c r="D244" s="9"/>
      <c r="E244" s="9"/>
      <c r="F244" s="9"/>
      <c r="G244" s="9"/>
      <c r="H244" s="9"/>
      <c r="I244" s="9"/>
      <c r="J244" s="9"/>
      <c r="K244" s="9"/>
      <c r="L244" s="9"/>
      <c r="M244" s="9"/>
      <c r="N244" s="9"/>
    </row>
    <row r="245" spans="1:14" x14ac:dyDescent="0.3">
      <c r="A245" s="9"/>
      <c r="B245" s="9"/>
      <c r="C245" s="9"/>
      <c r="D245" s="9"/>
      <c r="E245" s="9"/>
      <c r="F245" s="9"/>
      <c r="G245" s="9"/>
      <c r="H245" s="9"/>
      <c r="I245" s="9"/>
      <c r="J245" s="9"/>
      <c r="K245" s="9"/>
      <c r="L245" s="9"/>
      <c r="M245" s="9"/>
      <c r="N245" s="9"/>
    </row>
    <row r="246" spans="1:14" x14ac:dyDescent="0.3">
      <c r="A246" s="9"/>
      <c r="B246" s="9"/>
      <c r="C246" s="9"/>
      <c r="D246" s="9"/>
      <c r="E246" s="9"/>
      <c r="F246" s="9"/>
      <c r="G246" s="9"/>
      <c r="H246" s="9"/>
      <c r="I246" s="9"/>
      <c r="J246" s="9"/>
      <c r="K246" s="9"/>
      <c r="L246" s="9"/>
      <c r="M246" s="9"/>
      <c r="N246" s="9"/>
    </row>
    <row r="247" spans="1:14" x14ac:dyDescent="0.3">
      <c r="A247" s="9"/>
      <c r="B247" s="9"/>
      <c r="C247" s="9"/>
      <c r="D247" s="9"/>
      <c r="E247" s="9"/>
      <c r="F247" s="9"/>
      <c r="G247" s="9"/>
      <c r="H247" s="9"/>
      <c r="I247" s="9"/>
      <c r="J247" s="9"/>
      <c r="K247" s="9"/>
      <c r="L247" s="9"/>
      <c r="M247" s="9"/>
      <c r="N247" s="9"/>
    </row>
    <row r="248" spans="1:14" x14ac:dyDescent="0.3">
      <c r="A248" s="9"/>
      <c r="B248" s="9"/>
      <c r="C248" s="9"/>
      <c r="D248" s="9"/>
      <c r="E248" s="9"/>
      <c r="F248" s="9"/>
      <c r="G248" s="9"/>
      <c r="H248" s="9"/>
      <c r="I248" s="9"/>
      <c r="J248" s="9"/>
      <c r="K248" s="9"/>
      <c r="L248" s="9"/>
      <c r="M248" s="9"/>
      <c r="N248" s="9"/>
    </row>
    <row r="249" spans="1:14" x14ac:dyDescent="0.3">
      <c r="A249" s="9"/>
      <c r="B249" s="9"/>
      <c r="C249" s="9"/>
      <c r="D249" s="9"/>
      <c r="E249" s="9"/>
      <c r="F249" s="9"/>
      <c r="G249" s="9"/>
      <c r="H249" s="9"/>
      <c r="I249" s="9"/>
      <c r="J249" s="9"/>
      <c r="K249" s="9"/>
      <c r="L249" s="9"/>
      <c r="M249" s="9"/>
      <c r="N249" s="9"/>
    </row>
    <row r="250" spans="1:14" x14ac:dyDescent="0.3">
      <c r="A250" s="9"/>
      <c r="B250" s="9"/>
      <c r="C250" s="9"/>
      <c r="D250" s="9"/>
      <c r="E250" s="9"/>
      <c r="F250" s="9"/>
      <c r="G250" s="9"/>
      <c r="H250" s="9"/>
      <c r="I250" s="9"/>
      <c r="J250" s="9"/>
      <c r="K250" s="9"/>
      <c r="L250" s="9"/>
      <c r="M250" s="9"/>
      <c r="N250" s="9"/>
    </row>
    <row r="251" spans="1:14" x14ac:dyDescent="0.3">
      <c r="A251" s="9"/>
      <c r="B251" s="9"/>
      <c r="C251" s="9"/>
      <c r="D251" s="9"/>
      <c r="E251" s="9"/>
      <c r="F251" s="9"/>
      <c r="G251" s="9"/>
      <c r="H251" s="9"/>
      <c r="I251" s="9"/>
      <c r="J251" s="9"/>
      <c r="K251" s="9"/>
      <c r="L251" s="9"/>
      <c r="M251" s="9"/>
      <c r="N251" s="9"/>
    </row>
    <row r="252" spans="1:14" x14ac:dyDescent="0.3">
      <c r="A252" s="9"/>
      <c r="B252" s="9"/>
      <c r="C252" s="9"/>
      <c r="D252" s="9"/>
      <c r="E252" s="9"/>
      <c r="F252" s="9"/>
      <c r="G252" s="9"/>
      <c r="H252" s="9"/>
      <c r="I252" s="9"/>
      <c r="J252" s="9"/>
      <c r="K252" s="9"/>
      <c r="L252" s="9"/>
      <c r="M252" s="9"/>
      <c r="N252" s="9"/>
    </row>
    <row r="253" spans="1:14" x14ac:dyDescent="0.3">
      <c r="A253" s="9"/>
      <c r="B253" s="9"/>
      <c r="C253" s="9"/>
      <c r="D253" s="9"/>
      <c r="E253" s="9"/>
      <c r="F253" s="9"/>
      <c r="G253" s="9"/>
      <c r="H253" s="9"/>
      <c r="I253" s="9"/>
      <c r="J253" s="9"/>
      <c r="K253" s="9"/>
      <c r="L253" s="9"/>
      <c r="M253" s="9"/>
      <c r="N253" s="9"/>
    </row>
    <row r="254" spans="1:14" x14ac:dyDescent="0.3">
      <c r="A254" s="9"/>
      <c r="B254" s="9"/>
      <c r="C254" s="9"/>
      <c r="D254" s="9"/>
      <c r="E254" s="9"/>
      <c r="F254" s="9"/>
      <c r="G254" s="9"/>
      <c r="H254" s="9"/>
      <c r="I254" s="9"/>
      <c r="J254" s="9"/>
      <c r="K254" s="9"/>
      <c r="L254" s="9"/>
      <c r="M254" s="9"/>
      <c r="N254" s="9"/>
    </row>
    <row r="255" spans="1:14" x14ac:dyDescent="0.3">
      <c r="A255" s="9"/>
      <c r="B255" s="9"/>
      <c r="C255" s="9"/>
      <c r="D255" s="9"/>
      <c r="E255" s="9"/>
      <c r="F255" s="9"/>
      <c r="G255" s="9"/>
      <c r="H255" s="9"/>
      <c r="I255" s="9"/>
      <c r="J255" s="9"/>
      <c r="K255" s="9"/>
      <c r="L255" s="9"/>
      <c r="M255" s="9"/>
      <c r="N255" s="9"/>
    </row>
    <row r="256" spans="1:14" x14ac:dyDescent="0.3">
      <c r="A256" s="9"/>
      <c r="B256" s="9"/>
      <c r="C256" s="9"/>
      <c r="D256" s="9"/>
      <c r="E256" s="9"/>
      <c r="F256" s="9"/>
      <c r="G256" s="9"/>
      <c r="H256" s="9"/>
      <c r="I256" s="9"/>
      <c r="J256" s="9"/>
      <c r="K256" s="9"/>
      <c r="L256" s="9"/>
      <c r="M256" s="9"/>
      <c r="N256" s="9"/>
    </row>
    <row r="257" spans="1:14" x14ac:dyDescent="0.3">
      <c r="A257" s="9"/>
      <c r="B257" s="9"/>
      <c r="C257" s="9"/>
      <c r="D257" s="9"/>
      <c r="E257" s="9"/>
      <c r="F257" s="9"/>
      <c r="G257" s="9"/>
      <c r="H257" s="9"/>
      <c r="I257" s="9"/>
      <c r="J257" s="9"/>
      <c r="K257" s="9"/>
      <c r="L257" s="9"/>
      <c r="M257" s="9"/>
      <c r="N257" s="9"/>
    </row>
    <row r="258" spans="1:14" x14ac:dyDescent="0.3">
      <c r="A258" s="9"/>
      <c r="B258" s="9"/>
      <c r="C258" s="9"/>
      <c r="D258" s="9"/>
      <c r="E258" s="9"/>
      <c r="F258" s="9"/>
      <c r="G258" s="9"/>
      <c r="H258" s="9"/>
      <c r="I258" s="9"/>
      <c r="J258" s="9"/>
      <c r="K258" s="9"/>
      <c r="L258" s="9"/>
      <c r="M258" s="9"/>
      <c r="N258" s="9"/>
    </row>
    <row r="259" spans="1:14" x14ac:dyDescent="0.3">
      <c r="A259" s="9"/>
      <c r="B259" s="9"/>
      <c r="C259" s="9"/>
      <c r="D259" s="9"/>
      <c r="E259" s="9"/>
      <c r="F259" s="9"/>
      <c r="G259" s="9"/>
      <c r="H259" s="9"/>
      <c r="I259" s="9"/>
      <c r="J259" s="9"/>
      <c r="K259" s="9"/>
      <c r="L259" s="9"/>
      <c r="M259" s="9"/>
      <c r="N259" s="9"/>
    </row>
    <row r="260" spans="1:14" x14ac:dyDescent="0.3">
      <c r="A260" s="9"/>
      <c r="B260" s="9"/>
      <c r="C260" s="9"/>
      <c r="D260" s="9"/>
      <c r="E260" s="9"/>
      <c r="F260" s="9"/>
      <c r="G260" s="9"/>
      <c r="H260" s="9"/>
      <c r="I260" s="9"/>
      <c r="J260" s="9"/>
      <c r="K260" s="9"/>
      <c r="L260" s="9"/>
      <c r="M260" s="9"/>
      <c r="N260" s="9"/>
    </row>
    <row r="261" spans="1:14" x14ac:dyDescent="0.3">
      <c r="A261" s="9"/>
      <c r="B261" s="9"/>
      <c r="C261" s="9"/>
      <c r="D261" s="9"/>
      <c r="E261" s="9"/>
      <c r="F261" s="9"/>
      <c r="G261" s="9"/>
      <c r="H261" s="9"/>
      <c r="I261" s="9"/>
      <c r="J261" s="9"/>
      <c r="K261" s="9"/>
      <c r="L261" s="9"/>
      <c r="M261" s="9"/>
      <c r="N261" s="9"/>
    </row>
    <row r="262" spans="1:14" x14ac:dyDescent="0.3">
      <c r="A262" s="9"/>
      <c r="B262" s="9"/>
      <c r="C262" s="9"/>
      <c r="D262" s="9"/>
      <c r="E262" s="9"/>
      <c r="F262" s="9"/>
      <c r="G262" s="9"/>
      <c r="H262" s="9"/>
      <c r="I262" s="9"/>
      <c r="J262" s="9"/>
      <c r="K262" s="9"/>
      <c r="L262" s="9"/>
      <c r="M262" s="9"/>
      <c r="N262" s="9"/>
    </row>
    <row r="263" spans="1:14" x14ac:dyDescent="0.3">
      <c r="A263" s="9"/>
      <c r="B263" s="9"/>
      <c r="C263" s="9"/>
      <c r="D263" s="9"/>
      <c r="E263" s="9"/>
      <c r="F263" s="9"/>
      <c r="G263" s="9"/>
      <c r="H263" s="9"/>
      <c r="I263" s="9"/>
      <c r="J263" s="9"/>
      <c r="K263" s="9"/>
      <c r="L263" s="9"/>
      <c r="M263" s="9"/>
      <c r="N263" s="9"/>
    </row>
    <row r="264" spans="1:14" x14ac:dyDescent="0.3">
      <c r="A264" s="9"/>
      <c r="B264" s="9"/>
      <c r="C264" s="9"/>
      <c r="D264" s="9"/>
      <c r="E264" s="9"/>
      <c r="F264" s="9"/>
      <c r="G264" s="9"/>
      <c r="H264" s="9"/>
      <c r="I264" s="9"/>
      <c r="J264" s="9"/>
      <c r="K264" s="9"/>
      <c r="L264" s="9"/>
      <c r="M264" s="9"/>
      <c r="N264" s="9"/>
    </row>
    <row r="265" spans="1:14" x14ac:dyDescent="0.3">
      <c r="A265" s="9"/>
      <c r="B265" s="9"/>
      <c r="C265" s="9"/>
      <c r="D265" s="9"/>
      <c r="E265" s="9"/>
      <c r="F265" s="9"/>
      <c r="G265" s="9"/>
      <c r="H265" s="9"/>
      <c r="I265" s="9"/>
      <c r="J265" s="9"/>
      <c r="K265" s="9"/>
      <c r="L265" s="9"/>
      <c r="M265" s="9"/>
      <c r="N265" s="9"/>
    </row>
    <row r="266" spans="1:14" x14ac:dyDescent="0.3">
      <c r="A266" s="9"/>
      <c r="B266" s="9"/>
      <c r="C266" s="9"/>
      <c r="D266" s="9"/>
      <c r="E266" s="9"/>
      <c r="F266" s="9"/>
      <c r="G266" s="9"/>
      <c r="H266" s="9"/>
      <c r="I266" s="9"/>
      <c r="J266" s="9"/>
      <c r="K266" s="9"/>
      <c r="L266" s="9"/>
      <c r="M266" s="9"/>
      <c r="N266" s="9"/>
    </row>
    <row r="267" spans="1:14" x14ac:dyDescent="0.3">
      <c r="A267" s="9"/>
      <c r="B267" s="9"/>
      <c r="C267" s="9"/>
      <c r="D267" s="9"/>
      <c r="E267" s="9"/>
      <c r="F267" s="9"/>
      <c r="G267" s="9"/>
      <c r="H267" s="9"/>
      <c r="I267" s="9"/>
      <c r="J267" s="9"/>
      <c r="K267" s="9"/>
      <c r="L267" s="9"/>
      <c r="M267" s="9"/>
      <c r="N267" s="9"/>
    </row>
    <row r="268" spans="1:14" x14ac:dyDescent="0.3">
      <c r="A268" s="9"/>
      <c r="B268" s="9"/>
      <c r="C268" s="9"/>
      <c r="D268" s="9"/>
      <c r="E268" s="9"/>
      <c r="F268" s="9"/>
      <c r="G268" s="9"/>
      <c r="H268" s="9"/>
      <c r="I268" s="9"/>
      <c r="J268" s="9"/>
      <c r="K268" s="9"/>
      <c r="L268" s="9"/>
      <c r="M268" s="9"/>
      <c r="N268" s="9"/>
    </row>
    <row r="269" spans="1:14" x14ac:dyDescent="0.3">
      <c r="A269" s="9"/>
      <c r="B269" s="9"/>
      <c r="C269" s="9"/>
      <c r="D269" s="9"/>
      <c r="E269" s="9"/>
      <c r="F269" s="9"/>
      <c r="G269" s="9"/>
      <c r="H269" s="9"/>
      <c r="I269" s="9"/>
      <c r="J269" s="9"/>
      <c r="K269" s="9"/>
      <c r="L269" s="9"/>
      <c r="M269" s="9"/>
      <c r="N269" s="9"/>
    </row>
    <row r="270" spans="1:14" x14ac:dyDescent="0.3">
      <c r="A270" s="9"/>
      <c r="B270" s="9"/>
      <c r="C270" s="9"/>
      <c r="D270" s="9"/>
      <c r="E270" s="9"/>
      <c r="F270" s="9"/>
      <c r="G270" s="9"/>
      <c r="H270" s="9"/>
      <c r="I270" s="9"/>
      <c r="J270" s="9"/>
      <c r="K270" s="9"/>
      <c r="L270" s="9"/>
      <c r="M270" s="9"/>
      <c r="N270" s="9"/>
    </row>
    <row r="271" spans="1:14" x14ac:dyDescent="0.3">
      <c r="A271" s="9"/>
      <c r="B271" s="9"/>
      <c r="C271" s="9"/>
      <c r="D271" s="9"/>
      <c r="E271" s="9"/>
      <c r="F271" s="9"/>
      <c r="G271" s="9"/>
      <c r="H271" s="9"/>
      <c r="I271" s="9"/>
      <c r="J271" s="9"/>
      <c r="K271" s="9"/>
      <c r="L271" s="9"/>
      <c r="M271" s="9"/>
      <c r="N271" s="9"/>
    </row>
    <row r="272" spans="1:14" x14ac:dyDescent="0.3">
      <c r="A272" s="9"/>
      <c r="B272" s="9"/>
      <c r="C272" s="9"/>
      <c r="D272" s="9"/>
      <c r="E272" s="9"/>
      <c r="F272" s="9"/>
      <c r="G272" s="9"/>
      <c r="H272" s="9"/>
      <c r="I272" s="9"/>
      <c r="J272" s="9"/>
      <c r="K272" s="9"/>
      <c r="L272" s="9"/>
      <c r="M272" s="9"/>
      <c r="N272" s="9"/>
    </row>
    <row r="273" spans="1:14" x14ac:dyDescent="0.3">
      <c r="A273" s="9"/>
      <c r="B273" s="9"/>
      <c r="C273" s="9"/>
      <c r="D273" s="9"/>
      <c r="E273" s="9"/>
      <c r="F273" s="9"/>
      <c r="G273" s="9"/>
      <c r="H273" s="9"/>
      <c r="I273" s="9"/>
      <c r="J273" s="9"/>
      <c r="K273" s="9"/>
      <c r="L273" s="9"/>
      <c r="M273" s="9"/>
      <c r="N273" s="9"/>
    </row>
    <row r="274" spans="1:14" x14ac:dyDescent="0.3">
      <c r="A274" s="9"/>
      <c r="B274" s="9"/>
      <c r="C274" s="9"/>
      <c r="D274" s="9"/>
      <c r="E274" s="9"/>
      <c r="F274" s="9"/>
      <c r="G274" s="9"/>
      <c r="H274" s="9"/>
      <c r="I274" s="9"/>
      <c r="J274" s="9"/>
      <c r="K274" s="9"/>
      <c r="L274" s="9"/>
      <c r="M274" s="9"/>
      <c r="N274" s="9"/>
    </row>
    <row r="275" spans="1:14" x14ac:dyDescent="0.3">
      <c r="A275" s="9"/>
      <c r="B275" s="9"/>
      <c r="C275" s="9"/>
      <c r="D275" s="9"/>
      <c r="E275" s="9"/>
      <c r="F275" s="9"/>
      <c r="G275" s="9"/>
      <c r="H275" s="9"/>
      <c r="I275" s="9"/>
      <c r="J275" s="9"/>
      <c r="K275" s="9"/>
      <c r="L275" s="9"/>
      <c r="M275" s="9"/>
      <c r="N275" s="9"/>
    </row>
    <row r="276" spans="1:14" x14ac:dyDescent="0.3">
      <c r="A276" s="9"/>
      <c r="B276" s="9"/>
      <c r="C276" s="9"/>
      <c r="D276" s="9"/>
      <c r="E276" s="9"/>
      <c r="F276" s="9"/>
      <c r="G276" s="9"/>
      <c r="H276" s="9"/>
      <c r="I276" s="9"/>
      <c r="J276" s="9"/>
      <c r="K276" s="9"/>
      <c r="L276" s="9"/>
      <c r="M276" s="9"/>
      <c r="N276" s="9"/>
    </row>
    <row r="277" spans="1:14" x14ac:dyDescent="0.3">
      <c r="A277" s="9"/>
      <c r="B277" s="9"/>
      <c r="C277" s="9"/>
      <c r="D277" s="9"/>
      <c r="E277" s="9"/>
      <c r="F277" s="9"/>
      <c r="G277" s="9"/>
      <c r="H277" s="9"/>
      <c r="I277" s="9"/>
      <c r="J277" s="9"/>
      <c r="K277" s="9"/>
      <c r="L277" s="9"/>
      <c r="M277" s="9"/>
      <c r="N277" s="9"/>
    </row>
    <row r="278" spans="1:14" x14ac:dyDescent="0.3">
      <c r="A278" s="9"/>
      <c r="B278" s="9"/>
      <c r="C278" s="9"/>
      <c r="D278" s="9"/>
      <c r="E278" s="9"/>
      <c r="F278" s="9"/>
      <c r="G278" s="9"/>
      <c r="H278" s="9"/>
      <c r="I278" s="9"/>
      <c r="J278" s="9"/>
      <c r="K278" s="9"/>
      <c r="L278" s="9"/>
      <c r="M278" s="9"/>
      <c r="N278" s="9"/>
    </row>
    <row r="279" spans="1:14" x14ac:dyDescent="0.3">
      <c r="A279" s="9"/>
      <c r="B279" s="9"/>
      <c r="C279" s="9"/>
      <c r="D279" s="9"/>
      <c r="E279" s="9"/>
      <c r="F279" s="9"/>
      <c r="G279" s="9"/>
      <c r="H279" s="9"/>
      <c r="I279" s="9"/>
      <c r="J279" s="9"/>
      <c r="K279" s="9"/>
      <c r="L279" s="9"/>
      <c r="M279" s="9"/>
      <c r="N279" s="9"/>
    </row>
    <row r="280" spans="1:14" x14ac:dyDescent="0.3">
      <c r="A280" s="9"/>
      <c r="B280" s="9"/>
      <c r="C280" s="9"/>
      <c r="D280" s="9"/>
      <c r="E280" s="9"/>
      <c r="F280" s="9"/>
      <c r="G280" s="9"/>
      <c r="H280" s="9"/>
      <c r="I280" s="9"/>
      <c r="J280" s="9"/>
      <c r="K280" s="9"/>
      <c r="L280" s="9"/>
      <c r="M280" s="9"/>
      <c r="N280" s="9"/>
    </row>
    <row r="281" spans="1:14" x14ac:dyDescent="0.3">
      <c r="A281" s="9"/>
      <c r="B281" s="9"/>
      <c r="C281" s="9"/>
      <c r="D281" s="9"/>
      <c r="E281" s="9"/>
      <c r="F281" s="9"/>
      <c r="G281" s="9"/>
      <c r="H281" s="9"/>
      <c r="I281" s="9"/>
      <c r="J281" s="9"/>
      <c r="K281" s="9"/>
      <c r="L281" s="9"/>
      <c r="M281" s="9"/>
      <c r="N281" s="9"/>
    </row>
    <row r="282" spans="1:14" x14ac:dyDescent="0.3">
      <c r="A282" s="9"/>
      <c r="B282" s="9"/>
      <c r="C282" s="9"/>
      <c r="D282" s="9"/>
      <c r="E282" s="9"/>
      <c r="F282" s="9"/>
      <c r="G282" s="9"/>
      <c r="H282" s="9"/>
      <c r="I282" s="9"/>
      <c r="J282" s="9"/>
      <c r="K282" s="9"/>
      <c r="L282" s="9"/>
      <c r="M282" s="9"/>
      <c r="N282" s="9"/>
    </row>
    <row r="283" spans="1:14" x14ac:dyDescent="0.3">
      <c r="A283" s="9"/>
      <c r="B283" s="9"/>
      <c r="C283" s="9"/>
      <c r="D283" s="9"/>
      <c r="E283" s="9"/>
      <c r="F283" s="9"/>
      <c r="G283" s="9"/>
      <c r="H283" s="9"/>
      <c r="I283" s="9"/>
      <c r="J283" s="9"/>
      <c r="K283" s="9"/>
      <c r="L283" s="9"/>
      <c r="M283" s="9"/>
      <c r="N283" s="9"/>
    </row>
    <row r="284" spans="1:14" x14ac:dyDescent="0.3">
      <c r="A284" s="9"/>
      <c r="B284" s="9"/>
      <c r="C284" s="9"/>
      <c r="D284" s="9"/>
      <c r="E284" s="9"/>
      <c r="F284" s="9"/>
      <c r="G284" s="9"/>
      <c r="H284" s="9"/>
      <c r="I284" s="9"/>
      <c r="J284" s="9"/>
      <c r="K284" s="9"/>
      <c r="L284" s="9"/>
      <c r="M284" s="9"/>
      <c r="N284" s="9"/>
    </row>
    <row r="285" spans="1:14" x14ac:dyDescent="0.3">
      <c r="A285" s="9"/>
      <c r="B285" s="9"/>
      <c r="C285" s="9"/>
      <c r="D285" s="9"/>
      <c r="E285" s="9"/>
      <c r="F285" s="9"/>
      <c r="G285" s="9"/>
      <c r="H285" s="9"/>
      <c r="I285" s="9"/>
      <c r="J285" s="9"/>
      <c r="K285" s="9"/>
      <c r="L285" s="9"/>
      <c r="M285" s="9"/>
      <c r="N285" s="9"/>
    </row>
    <row r="286" spans="1:14" x14ac:dyDescent="0.3">
      <c r="A286" s="9"/>
      <c r="B286" s="9"/>
      <c r="C286" s="9"/>
      <c r="D286" s="9"/>
      <c r="E286" s="9"/>
      <c r="F286" s="9"/>
      <c r="G286" s="9"/>
      <c r="H286" s="9"/>
      <c r="I286" s="9"/>
      <c r="J286" s="9"/>
      <c r="K286" s="9"/>
      <c r="L286" s="9"/>
      <c r="M286" s="9"/>
      <c r="N286" s="9"/>
    </row>
    <row r="287" spans="1:14" x14ac:dyDescent="0.3">
      <c r="A287" s="9"/>
      <c r="B287" s="9"/>
      <c r="C287" s="9"/>
      <c r="D287" s="9"/>
      <c r="E287" s="9"/>
      <c r="F287" s="9"/>
      <c r="G287" s="9"/>
      <c r="H287" s="9"/>
      <c r="I287" s="9"/>
      <c r="J287" s="9"/>
      <c r="K287" s="9"/>
      <c r="L287" s="9"/>
      <c r="M287" s="9"/>
      <c r="N287" s="9"/>
    </row>
    <row r="288" spans="1:14" x14ac:dyDescent="0.3">
      <c r="A288" s="9"/>
      <c r="B288" s="9"/>
      <c r="C288" s="9"/>
      <c r="D288" s="9"/>
      <c r="E288" s="9"/>
      <c r="F288" s="9"/>
      <c r="G288" s="9"/>
      <c r="H288" s="9"/>
      <c r="I288" s="9"/>
      <c r="J288" s="9"/>
      <c r="K288" s="9"/>
      <c r="L288" s="9"/>
      <c r="M288" s="9"/>
      <c r="N288" s="9"/>
    </row>
    <row r="289" spans="1:14" x14ac:dyDescent="0.3">
      <c r="A289" s="9"/>
      <c r="B289" s="9"/>
      <c r="C289" s="9"/>
      <c r="D289" s="9"/>
      <c r="E289" s="9"/>
      <c r="F289" s="9"/>
      <c r="G289" s="9"/>
      <c r="H289" s="9"/>
      <c r="I289" s="9"/>
      <c r="J289" s="9"/>
      <c r="K289" s="9"/>
      <c r="L289" s="9"/>
      <c r="M289" s="9"/>
      <c r="N289" s="9"/>
    </row>
    <row r="290" spans="1:14" x14ac:dyDescent="0.3">
      <c r="A290" s="9"/>
      <c r="B290" s="9"/>
      <c r="C290" s="9"/>
      <c r="D290" s="9"/>
      <c r="E290" s="9"/>
      <c r="F290" s="9"/>
      <c r="G290" s="9"/>
      <c r="H290" s="9"/>
      <c r="I290" s="9"/>
      <c r="J290" s="9"/>
      <c r="K290" s="9"/>
      <c r="L290" s="9"/>
      <c r="M290" s="9"/>
      <c r="N290" s="9"/>
    </row>
    <row r="291" spans="1:14" x14ac:dyDescent="0.3">
      <c r="A291" s="9"/>
      <c r="B291" s="9"/>
      <c r="C291" s="9"/>
      <c r="D291" s="9"/>
      <c r="E291" s="9"/>
      <c r="F291" s="9"/>
      <c r="G291" s="9"/>
      <c r="H291" s="9"/>
      <c r="I291" s="9"/>
      <c r="J291" s="9"/>
      <c r="K291" s="9"/>
      <c r="L291" s="9"/>
      <c r="M291" s="9"/>
      <c r="N291" s="9"/>
    </row>
    <row r="292" spans="1:14" x14ac:dyDescent="0.3">
      <c r="A292" s="9"/>
      <c r="B292" s="9"/>
      <c r="C292" s="9"/>
      <c r="D292" s="9"/>
      <c r="E292" s="9"/>
      <c r="F292" s="9"/>
      <c r="G292" s="9"/>
      <c r="H292" s="9"/>
      <c r="I292" s="9"/>
      <c r="J292" s="9"/>
      <c r="K292" s="9"/>
      <c r="L292" s="9"/>
      <c r="M292" s="9"/>
      <c r="N292" s="9"/>
    </row>
    <row r="293" spans="1:14" x14ac:dyDescent="0.3">
      <c r="A293" s="9"/>
      <c r="B293" s="9"/>
      <c r="C293" s="9"/>
      <c r="D293" s="9"/>
      <c r="E293" s="9"/>
      <c r="F293" s="9"/>
      <c r="G293" s="9"/>
      <c r="H293" s="9"/>
      <c r="I293" s="9"/>
      <c r="J293" s="9"/>
      <c r="K293" s="9"/>
      <c r="L293" s="9"/>
      <c r="M293" s="9"/>
      <c r="N293" s="9"/>
    </row>
    <row r="294" spans="1:14" x14ac:dyDescent="0.3">
      <c r="A294" s="9"/>
      <c r="B294" s="9"/>
      <c r="C294" s="9"/>
      <c r="D294" s="9"/>
      <c r="E294" s="9"/>
      <c r="F294" s="9"/>
      <c r="G294" s="9"/>
      <c r="H294" s="9"/>
      <c r="I294" s="9"/>
      <c r="J294" s="9"/>
      <c r="K294" s="9"/>
      <c r="L294" s="9"/>
      <c r="M294" s="9"/>
      <c r="N294" s="9"/>
    </row>
    <row r="295" spans="1:14" x14ac:dyDescent="0.3">
      <c r="A295" s="9"/>
      <c r="B295" s="9"/>
      <c r="C295" s="9"/>
      <c r="D295" s="9"/>
      <c r="E295" s="9"/>
      <c r="F295" s="9"/>
      <c r="G295" s="9"/>
      <c r="H295" s="9"/>
      <c r="I295" s="9"/>
      <c r="J295" s="9"/>
      <c r="K295" s="9"/>
      <c r="L295" s="9"/>
      <c r="M295" s="9"/>
      <c r="N295" s="9"/>
    </row>
    <row r="296" spans="1:14" x14ac:dyDescent="0.3">
      <c r="A296" s="9"/>
      <c r="B296" s="9"/>
      <c r="C296" s="9"/>
      <c r="D296" s="9"/>
      <c r="E296" s="9"/>
      <c r="F296" s="9"/>
      <c r="G296" s="9"/>
      <c r="H296" s="9"/>
      <c r="I296" s="9"/>
      <c r="J296" s="9"/>
      <c r="K296" s="9"/>
      <c r="L296" s="9"/>
      <c r="M296" s="9"/>
      <c r="N296" s="9"/>
    </row>
    <row r="297" spans="1:14" x14ac:dyDescent="0.3">
      <c r="A297" s="9"/>
      <c r="B297" s="9"/>
      <c r="C297" s="9"/>
      <c r="D297" s="9"/>
      <c r="E297" s="9"/>
      <c r="F297" s="9"/>
      <c r="G297" s="9"/>
      <c r="H297" s="9"/>
      <c r="I297" s="9"/>
      <c r="J297" s="9"/>
      <c r="K297" s="9"/>
      <c r="L297" s="9"/>
      <c r="M297" s="9"/>
      <c r="N297" s="9"/>
    </row>
    <row r="298" spans="1:14" x14ac:dyDescent="0.3">
      <c r="A298" s="9"/>
      <c r="B298" s="9"/>
      <c r="C298" s="9"/>
      <c r="D298" s="9"/>
      <c r="E298" s="9"/>
      <c r="F298" s="9"/>
      <c r="G298" s="9"/>
      <c r="H298" s="9"/>
      <c r="I298" s="9"/>
      <c r="J298" s="9"/>
      <c r="K298" s="9"/>
      <c r="L298" s="9"/>
      <c r="M298" s="9"/>
      <c r="N298" s="9"/>
    </row>
    <row r="299" spans="1:14" x14ac:dyDescent="0.3">
      <c r="A299" s="9"/>
      <c r="B299" s="9"/>
      <c r="C299" s="9"/>
      <c r="D299" s="9"/>
      <c r="E299" s="9"/>
      <c r="F299" s="9"/>
      <c r="G299" s="9"/>
      <c r="H299" s="9"/>
      <c r="I299" s="9"/>
      <c r="J299" s="9"/>
      <c r="K299" s="9"/>
      <c r="L299" s="9"/>
      <c r="M299" s="9"/>
      <c r="N299" s="9"/>
    </row>
    <row r="300" spans="1:14" x14ac:dyDescent="0.3">
      <c r="A300" s="9"/>
      <c r="B300" s="9"/>
      <c r="C300" s="9"/>
      <c r="D300" s="9"/>
      <c r="E300" s="9"/>
      <c r="F300" s="9"/>
      <c r="G300" s="9"/>
      <c r="H300" s="9"/>
      <c r="I300" s="9"/>
      <c r="J300" s="9"/>
      <c r="K300" s="9"/>
      <c r="L300" s="9"/>
      <c r="M300" s="9"/>
      <c r="N300" s="9"/>
    </row>
    <row r="301" spans="1:14" x14ac:dyDescent="0.3">
      <c r="A301" s="9"/>
      <c r="B301" s="9"/>
      <c r="C301" s="9"/>
      <c r="D301" s="9"/>
      <c r="E301" s="9"/>
      <c r="F301" s="9"/>
      <c r="G301" s="9"/>
      <c r="H301" s="9"/>
      <c r="I301" s="9"/>
      <c r="J301" s="9"/>
      <c r="K301" s="9"/>
      <c r="L301" s="9"/>
      <c r="M301" s="9"/>
      <c r="N301" s="9"/>
    </row>
    <row r="302" spans="1:14" x14ac:dyDescent="0.3">
      <c r="A302" s="9"/>
      <c r="B302" s="9"/>
      <c r="C302" s="9"/>
      <c r="D302" s="9"/>
      <c r="E302" s="9"/>
      <c r="F302" s="9"/>
      <c r="G302" s="9"/>
      <c r="H302" s="9"/>
      <c r="I302" s="9"/>
      <c r="J302" s="9"/>
      <c r="K302" s="9"/>
      <c r="L302" s="9"/>
      <c r="M302" s="9"/>
      <c r="N302" s="9"/>
    </row>
    <row r="303" spans="1:14" x14ac:dyDescent="0.3">
      <c r="A303" s="9"/>
      <c r="B303" s="9"/>
      <c r="C303" s="9"/>
      <c r="D303" s="9"/>
      <c r="E303" s="9"/>
      <c r="F303" s="9"/>
      <c r="G303" s="9"/>
      <c r="H303" s="9"/>
      <c r="I303" s="9"/>
      <c r="J303" s="9"/>
      <c r="K303" s="9"/>
      <c r="L303" s="9"/>
      <c r="M303" s="9"/>
      <c r="N303" s="9"/>
    </row>
    <row r="304" spans="1:14" x14ac:dyDescent="0.3">
      <c r="A304" s="9"/>
      <c r="B304" s="9"/>
      <c r="C304" s="9"/>
      <c r="D304" s="9"/>
      <c r="E304" s="9"/>
      <c r="F304" s="9"/>
      <c r="G304" s="9"/>
      <c r="H304" s="9"/>
      <c r="I304" s="9"/>
      <c r="J304" s="9"/>
      <c r="K304" s="9"/>
      <c r="L304" s="9"/>
      <c r="M304" s="9"/>
      <c r="N304" s="9"/>
    </row>
    <row r="305" spans="1:14" x14ac:dyDescent="0.3">
      <c r="A305" s="9"/>
      <c r="B305" s="9"/>
      <c r="C305" s="9"/>
      <c r="D305" s="9"/>
      <c r="E305" s="9"/>
      <c r="F305" s="9"/>
      <c r="G305" s="9"/>
      <c r="H305" s="9"/>
      <c r="I305" s="9"/>
      <c r="J305" s="9"/>
      <c r="K305" s="9"/>
      <c r="L305" s="9"/>
      <c r="M305" s="9"/>
      <c r="N305" s="9"/>
    </row>
    <row r="306" spans="1:14" x14ac:dyDescent="0.3">
      <c r="A306" s="9"/>
      <c r="B306" s="9"/>
      <c r="C306" s="9"/>
      <c r="D306" s="9"/>
      <c r="E306" s="9"/>
      <c r="F306" s="9"/>
      <c r="G306" s="9"/>
      <c r="H306" s="9"/>
      <c r="I306" s="9"/>
      <c r="J306" s="9"/>
      <c r="K306" s="9"/>
      <c r="L306" s="9"/>
      <c r="M306" s="9"/>
      <c r="N306" s="9"/>
    </row>
    <row r="307" spans="1:14" x14ac:dyDescent="0.3">
      <c r="A307" s="9"/>
      <c r="B307" s="9"/>
      <c r="C307" s="9"/>
      <c r="D307" s="9"/>
      <c r="E307" s="9"/>
      <c r="F307" s="9"/>
      <c r="G307" s="9"/>
      <c r="H307" s="9"/>
      <c r="I307" s="9"/>
      <c r="J307" s="9"/>
      <c r="K307" s="9"/>
      <c r="L307" s="9"/>
      <c r="M307" s="9"/>
      <c r="N307" s="9"/>
    </row>
    <row r="308" spans="1:14" x14ac:dyDescent="0.3">
      <c r="A308" s="9"/>
      <c r="B308" s="9"/>
      <c r="C308" s="9"/>
      <c r="D308" s="9"/>
      <c r="E308" s="9"/>
      <c r="F308" s="9"/>
      <c r="G308" s="9"/>
      <c r="H308" s="9"/>
      <c r="I308" s="9"/>
      <c r="J308" s="9"/>
      <c r="K308" s="9"/>
      <c r="L308" s="9"/>
      <c r="M308" s="9"/>
      <c r="N308" s="9"/>
    </row>
    <row r="309" spans="1:14" x14ac:dyDescent="0.3">
      <c r="A309" s="9"/>
      <c r="B309" s="9"/>
      <c r="C309" s="9"/>
      <c r="D309" s="9"/>
      <c r="E309" s="9"/>
      <c r="F309" s="9"/>
      <c r="G309" s="9"/>
      <c r="H309" s="9"/>
      <c r="I309" s="9"/>
      <c r="J309" s="9"/>
      <c r="K309" s="9"/>
      <c r="L309" s="9"/>
      <c r="M309" s="9"/>
      <c r="N309" s="9"/>
    </row>
    <row r="310" spans="1:14" x14ac:dyDescent="0.3">
      <c r="A310" s="9"/>
      <c r="B310" s="9"/>
      <c r="C310" s="9"/>
      <c r="D310" s="9"/>
      <c r="E310" s="9"/>
      <c r="F310" s="9"/>
      <c r="G310" s="9"/>
      <c r="H310" s="9"/>
      <c r="I310" s="9"/>
      <c r="J310" s="9"/>
      <c r="K310" s="9"/>
      <c r="L310" s="9"/>
      <c r="M310" s="9"/>
      <c r="N310" s="9"/>
    </row>
    <row r="311" spans="1:14" x14ac:dyDescent="0.3">
      <c r="A311" s="9"/>
      <c r="B311" s="9"/>
      <c r="C311" s="9"/>
      <c r="D311" s="9"/>
      <c r="E311" s="9"/>
      <c r="F311" s="9"/>
      <c r="G311" s="9"/>
      <c r="H311" s="9"/>
      <c r="I311" s="9"/>
      <c r="J311" s="9"/>
      <c r="K311" s="9"/>
      <c r="L311" s="9"/>
      <c r="M311" s="9"/>
      <c r="N311" s="9"/>
    </row>
    <row r="312" spans="1:14" x14ac:dyDescent="0.3">
      <c r="A312" s="9"/>
      <c r="B312" s="9"/>
      <c r="C312" s="9"/>
      <c r="D312" s="9"/>
      <c r="E312" s="9"/>
      <c r="F312" s="9"/>
      <c r="G312" s="9"/>
      <c r="H312" s="9"/>
      <c r="I312" s="9"/>
      <c r="J312" s="9"/>
      <c r="K312" s="9"/>
      <c r="L312" s="9"/>
      <c r="M312" s="9"/>
      <c r="N312" s="9"/>
    </row>
    <row r="313" spans="1:14" x14ac:dyDescent="0.3">
      <c r="A313" s="9"/>
      <c r="B313" s="9"/>
      <c r="C313" s="9"/>
      <c r="D313" s="9"/>
      <c r="E313" s="9"/>
      <c r="F313" s="9"/>
      <c r="G313" s="9"/>
      <c r="H313" s="9"/>
      <c r="I313" s="9"/>
      <c r="J313" s="9"/>
      <c r="K313" s="9"/>
      <c r="L313" s="9"/>
      <c r="M313" s="9"/>
      <c r="N313" s="9"/>
    </row>
    <row r="314" spans="1:14" x14ac:dyDescent="0.3">
      <c r="A314" s="9"/>
      <c r="B314" s="9"/>
      <c r="C314" s="9"/>
      <c r="D314" s="9"/>
      <c r="E314" s="9"/>
      <c r="F314" s="9"/>
      <c r="G314" s="9"/>
      <c r="H314" s="9"/>
      <c r="I314" s="9"/>
      <c r="J314" s="9"/>
      <c r="K314" s="9"/>
      <c r="L314" s="9"/>
      <c r="M314" s="9"/>
      <c r="N314" s="9"/>
    </row>
    <row r="315" spans="1:14" x14ac:dyDescent="0.3">
      <c r="A315" s="9"/>
      <c r="B315" s="9"/>
      <c r="C315" s="9"/>
      <c r="D315" s="9"/>
      <c r="E315" s="9"/>
      <c r="F315" s="9"/>
      <c r="G315" s="9"/>
      <c r="H315" s="9"/>
      <c r="I315" s="9"/>
      <c r="J315" s="9"/>
      <c r="K315" s="9"/>
      <c r="L315" s="9"/>
      <c r="M315" s="9"/>
      <c r="N315" s="9"/>
    </row>
    <row r="316" spans="1:14" x14ac:dyDescent="0.3">
      <c r="A316" s="9"/>
      <c r="B316" s="9"/>
      <c r="C316" s="9"/>
      <c r="D316" s="9"/>
      <c r="E316" s="9"/>
      <c r="F316" s="9"/>
      <c r="G316" s="9"/>
      <c r="H316" s="9"/>
      <c r="I316" s="9"/>
      <c r="J316" s="9"/>
      <c r="K316" s="9"/>
      <c r="L316" s="9"/>
      <c r="M316" s="9"/>
      <c r="N316" s="9"/>
    </row>
    <row r="317" spans="1:14" x14ac:dyDescent="0.3">
      <c r="A317" s="9"/>
      <c r="B317" s="9"/>
      <c r="C317" s="9"/>
      <c r="D317" s="9"/>
      <c r="E317" s="9"/>
      <c r="F317" s="9"/>
      <c r="G317" s="9"/>
      <c r="H317" s="9"/>
      <c r="I317" s="9"/>
      <c r="J317" s="9"/>
      <c r="K317" s="9"/>
      <c r="L317" s="9"/>
      <c r="M317" s="9"/>
      <c r="N317" s="9"/>
    </row>
  </sheetData>
  <autoFilter ref="A4:N317" xr:uid="{00000000-0009-0000-0000-000003000000}"/>
  <mergeCells count="2">
    <mergeCell ref="A1:N1"/>
    <mergeCell ref="A2:N2"/>
  </mergeCells>
  <dataValidations count="1">
    <dataValidation type="whole" allowBlank="1" showErrorMessage="1" errorTitle="Stage number" error="Enter the stage number (1–99) from 'PV Stages (ref)' or 'HE Stages'." sqref="M5:M317" xr:uid="{00000000-0002-0000-0300-000002000000}">
      <formula1>1</formula1>
      <formula2>99</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Pick from list" error="Choose a value from the 'Step Kind' list. For a new operation use the 'New Operations' sheet." xr:uid="{00000000-0002-0000-0300-000000000000}">
          <x14:formula1>
            <xm:f>Lists!$L$2:$L$3</xm:f>
          </x14:formula1>
          <x14:formula2>
            <xm:f>0</xm:f>
          </x14:formula2>
          <xm:sqref>H5:H317</xm:sqref>
        </x14:dataValidation>
        <x14:dataValidation type="list" allowBlank="1" showErrorMessage="1" errorTitle="Pick from list" error="Choose a value from the 'Departments' list. For a new operation use the 'New Operations' sheet." xr:uid="{00000000-0002-0000-0300-000001000000}">
          <x14:formula1>
            <xm:f>Lists!$B$2:$B$15</xm:f>
          </x14:formula1>
          <x14:formula2>
            <xm:f>0</xm:f>
          </x14:formula2>
          <xm:sqref>L5:L317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305"/>
  <sheetViews>
    <sheetView zoomScale="90" zoomScaleNormal="90" workbookViewId="0">
      <pane xSplit="2" ySplit="4" topLeftCell="C5" activePane="bottomRight" state="frozen"/>
      <selection pane="topRight" activeCell="C1" sqref="C1"/>
      <selection pane="bottomLeft" activeCell="A5" sqref="A5"/>
      <selection pane="bottomRight" activeCell="A13" sqref="A13:C32"/>
    </sheetView>
  </sheetViews>
  <sheetFormatPr defaultColWidth="8.6640625" defaultRowHeight="14.4" x14ac:dyDescent="0.3"/>
  <cols>
    <col min="1" max="1" width="10" customWidth="1"/>
    <col min="2" max="7" width="40.77734375" customWidth="1"/>
  </cols>
  <sheetData>
    <row r="1" spans="1:7" ht="14.4" customHeight="1" x14ac:dyDescent="0.3">
      <c r="A1" s="47" t="s">
        <v>2191</v>
      </c>
      <c r="B1" s="47"/>
      <c r="C1" s="47"/>
      <c r="D1" s="47"/>
      <c r="E1" s="47"/>
      <c r="F1" s="47"/>
      <c r="G1" s="47"/>
    </row>
    <row r="2" spans="1:7" x14ac:dyDescent="0.3">
      <c r="A2" s="48" t="s">
        <v>175</v>
      </c>
      <c r="B2" s="48"/>
      <c r="C2" s="48"/>
      <c r="D2" s="48"/>
      <c r="E2" s="48"/>
      <c r="F2" s="48"/>
      <c r="G2" s="48"/>
    </row>
    <row r="4" spans="1:7" ht="27.6" x14ac:dyDescent="0.3">
      <c r="A4" s="82" t="s">
        <v>53</v>
      </c>
      <c r="B4" s="82" t="s">
        <v>176</v>
      </c>
      <c r="C4" s="82" t="s">
        <v>177</v>
      </c>
      <c r="D4" s="82" t="s">
        <v>111</v>
      </c>
      <c r="E4" s="82" t="s">
        <v>178</v>
      </c>
      <c r="F4" s="82" t="s">
        <v>120</v>
      </c>
      <c r="G4" s="82" t="s">
        <v>69</v>
      </c>
    </row>
    <row r="5" spans="1:7" ht="43.2" x14ac:dyDescent="0.3">
      <c r="A5" s="64" t="s">
        <v>477</v>
      </c>
      <c r="B5" s="64" t="s">
        <v>93</v>
      </c>
      <c r="C5" s="64" t="s">
        <v>478</v>
      </c>
      <c r="D5" s="64" t="s">
        <v>377</v>
      </c>
      <c r="E5" s="64" t="s">
        <v>1362</v>
      </c>
      <c r="F5" s="64" t="s">
        <v>479</v>
      </c>
      <c r="G5" s="64" t="s">
        <v>1363</v>
      </c>
    </row>
    <row r="6" spans="1:7" ht="41.4" x14ac:dyDescent="0.3">
      <c r="A6" s="68" t="s">
        <v>477</v>
      </c>
      <c r="B6" s="68" t="s">
        <v>2042</v>
      </c>
      <c r="C6" s="68" t="s">
        <v>2043</v>
      </c>
      <c r="D6" s="68" t="s">
        <v>251</v>
      </c>
      <c r="E6" s="68" t="s">
        <v>2044</v>
      </c>
      <c r="F6" s="68" t="s">
        <v>2045</v>
      </c>
      <c r="G6" s="68" t="s">
        <v>2046</v>
      </c>
    </row>
    <row r="7" spans="1:7" ht="41.4" x14ac:dyDescent="0.3">
      <c r="A7" s="68" t="s">
        <v>477</v>
      </c>
      <c r="B7" s="68" t="s">
        <v>480</v>
      </c>
      <c r="C7" s="68" t="s">
        <v>2047</v>
      </c>
      <c r="D7" s="68" t="s">
        <v>124</v>
      </c>
      <c r="E7" s="68" t="s">
        <v>2048</v>
      </c>
      <c r="F7" s="68" t="s">
        <v>481</v>
      </c>
      <c r="G7" s="68" t="s">
        <v>2049</v>
      </c>
    </row>
    <row r="8" spans="1:7" ht="27.6" x14ac:dyDescent="0.3">
      <c r="A8" s="68" t="s">
        <v>477</v>
      </c>
      <c r="B8" s="68" t="s">
        <v>482</v>
      </c>
      <c r="C8" s="68" t="s">
        <v>391</v>
      </c>
      <c r="D8" s="68" t="s">
        <v>127</v>
      </c>
      <c r="E8" s="68" t="s">
        <v>1364</v>
      </c>
      <c r="F8" s="68" t="s">
        <v>1365</v>
      </c>
      <c r="G8" s="68" t="s">
        <v>1366</v>
      </c>
    </row>
    <row r="9" spans="1:7" ht="27.6" x14ac:dyDescent="0.3">
      <c r="A9" s="68" t="s">
        <v>477</v>
      </c>
      <c r="B9" s="68" t="s">
        <v>483</v>
      </c>
      <c r="C9" s="68" t="s">
        <v>2050</v>
      </c>
      <c r="D9" s="68" t="s">
        <v>137</v>
      </c>
      <c r="E9" s="68" t="s">
        <v>1367</v>
      </c>
      <c r="F9" s="68" t="s">
        <v>2051</v>
      </c>
      <c r="G9" s="68" t="s">
        <v>2052</v>
      </c>
    </row>
    <row r="10" spans="1:7" ht="27.6" x14ac:dyDescent="0.3">
      <c r="A10" s="68" t="s">
        <v>477</v>
      </c>
      <c r="B10" s="68" t="s">
        <v>485</v>
      </c>
      <c r="C10" s="68" t="s">
        <v>2053</v>
      </c>
      <c r="D10" s="68" t="s">
        <v>131</v>
      </c>
      <c r="E10" s="68" t="s">
        <v>1368</v>
      </c>
      <c r="F10" s="68" t="s">
        <v>486</v>
      </c>
      <c r="G10" s="68" t="s">
        <v>2054</v>
      </c>
    </row>
    <row r="11" spans="1:7" ht="27.6" x14ac:dyDescent="0.3">
      <c r="A11" s="68" t="s">
        <v>477</v>
      </c>
      <c r="B11" s="68" t="s">
        <v>1369</v>
      </c>
      <c r="C11" s="68" t="s">
        <v>1370</v>
      </c>
      <c r="D11" s="68" t="s">
        <v>131</v>
      </c>
      <c r="E11" s="68" t="s">
        <v>1371</v>
      </c>
      <c r="F11" s="68" t="s">
        <v>1372</v>
      </c>
      <c r="G11" s="68" t="s">
        <v>1373</v>
      </c>
    </row>
    <row r="12" spans="1:7" ht="27.6" x14ac:dyDescent="0.3">
      <c r="A12" s="68" t="s">
        <v>477</v>
      </c>
      <c r="B12" s="68" t="s">
        <v>1374</v>
      </c>
      <c r="C12" s="68" t="s">
        <v>1375</v>
      </c>
      <c r="D12" s="68" t="s">
        <v>124</v>
      </c>
      <c r="E12" s="68" t="s">
        <v>1376</v>
      </c>
      <c r="F12" s="68" t="s">
        <v>1377</v>
      </c>
      <c r="G12" s="68" t="s">
        <v>1378</v>
      </c>
    </row>
    <row r="13" spans="1:7" ht="27.6" x14ac:dyDescent="0.3">
      <c r="A13" s="68" t="s">
        <v>477</v>
      </c>
      <c r="B13" s="68" t="s">
        <v>1379</v>
      </c>
      <c r="C13" s="68" t="s">
        <v>2055</v>
      </c>
      <c r="D13" s="68" t="s">
        <v>131</v>
      </c>
      <c r="E13" s="68" t="s">
        <v>2056</v>
      </c>
      <c r="F13" s="68" t="s">
        <v>1380</v>
      </c>
      <c r="G13" s="68" t="s">
        <v>2057</v>
      </c>
    </row>
    <row r="14" spans="1:7" ht="27.6" x14ac:dyDescent="0.3">
      <c r="A14" s="68" t="s">
        <v>477</v>
      </c>
      <c r="B14" s="68" t="s">
        <v>1381</v>
      </c>
      <c r="C14" s="68" t="s">
        <v>1382</v>
      </c>
      <c r="D14" s="68" t="s">
        <v>276</v>
      </c>
      <c r="E14" s="68" t="s">
        <v>1383</v>
      </c>
      <c r="F14" s="68" t="s">
        <v>1384</v>
      </c>
      <c r="G14" s="68" t="s">
        <v>1385</v>
      </c>
    </row>
    <row r="15" spans="1:7" ht="41.4" x14ac:dyDescent="0.3">
      <c r="A15" s="70" t="s">
        <v>477</v>
      </c>
      <c r="B15" s="68" t="s">
        <v>2058</v>
      </c>
      <c r="C15" s="68" t="s">
        <v>98</v>
      </c>
      <c r="D15" s="68" t="s">
        <v>377</v>
      </c>
      <c r="E15" s="68" t="s">
        <v>2059</v>
      </c>
      <c r="F15" s="68" t="s">
        <v>2060</v>
      </c>
      <c r="G15" s="68" t="s">
        <v>2061</v>
      </c>
    </row>
    <row r="16" spans="1:7" ht="55.2" x14ac:dyDescent="0.3">
      <c r="A16" s="70" t="s">
        <v>477</v>
      </c>
      <c r="B16" s="68" t="s">
        <v>2062</v>
      </c>
      <c r="C16" s="68" t="s">
        <v>2063</v>
      </c>
      <c r="D16" s="68" t="s">
        <v>293</v>
      </c>
      <c r="E16" s="68" t="s">
        <v>2064</v>
      </c>
      <c r="F16" s="68" t="s">
        <v>2065</v>
      </c>
      <c r="G16" s="68" t="s">
        <v>2066</v>
      </c>
    </row>
    <row r="17" spans="1:7" ht="27.6" x14ac:dyDescent="0.3">
      <c r="A17" s="70" t="s">
        <v>477</v>
      </c>
      <c r="B17" s="68" t="s">
        <v>2067</v>
      </c>
      <c r="C17" s="68" t="s">
        <v>385</v>
      </c>
      <c r="D17" s="68" t="s">
        <v>251</v>
      </c>
      <c r="E17" s="68" t="s">
        <v>2068</v>
      </c>
      <c r="F17" s="68" t="s">
        <v>2069</v>
      </c>
      <c r="G17" s="68" t="s">
        <v>2070</v>
      </c>
    </row>
    <row r="18" spans="1:7" ht="27.6" x14ac:dyDescent="0.3">
      <c r="A18" s="70" t="s">
        <v>477</v>
      </c>
      <c r="B18" s="68" t="s">
        <v>2071</v>
      </c>
      <c r="C18" s="68" t="s">
        <v>2072</v>
      </c>
      <c r="D18" s="68" t="s">
        <v>124</v>
      </c>
      <c r="E18" s="68" t="s">
        <v>2073</v>
      </c>
      <c r="F18" s="68" t="s">
        <v>2074</v>
      </c>
      <c r="G18" s="68" t="s">
        <v>2075</v>
      </c>
    </row>
    <row r="19" spans="1:7" x14ac:dyDescent="0.3">
      <c r="A19" s="9"/>
      <c r="B19" s="9"/>
      <c r="C19" s="9"/>
      <c r="D19" s="9"/>
      <c r="E19" s="9"/>
      <c r="F19" s="9"/>
      <c r="G19" s="9"/>
    </row>
    <row r="20" spans="1:7" x14ac:dyDescent="0.3">
      <c r="A20" s="9"/>
      <c r="B20" s="9"/>
      <c r="C20" s="9"/>
      <c r="D20" s="9"/>
      <c r="E20" s="9"/>
      <c r="F20" s="9"/>
      <c r="G20" s="9"/>
    </row>
    <row r="21" spans="1:7" x14ac:dyDescent="0.3">
      <c r="A21" s="9"/>
      <c r="B21" s="9"/>
      <c r="C21" s="9"/>
      <c r="D21" s="9"/>
      <c r="E21" s="9"/>
      <c r="F21" s="9"/>
      <c r="G21" s="9"/>
    </row>
    <row r="22" spans="1:7" x14ac:dyDescent="0.3">
      <c r="A22" s="9"/>
      <c r="B22" s="9"/>
      <c r="C22" s="9"/>
      <c r="D22" s="9"/>
      <c r="E22" s="9"/>
      <c r="F22" s="9"/>
      <c r="G22" s="9"/>
    </row>
    <row r="23" spans="1:7" x14ac:dyDescent="0.3">
      <c r="A23" s="9"/>
      <c r="B23" s="9"/>
      <c r="C23" s="9"/>
      <c r="D23" s="9"/>
      <c r="E23" s="9"/>
      <c r="F23" s="9"/>
      <c r="G23" s="9"/>
    </row>
    <row r="24" spans="1:7" x14ac:dyDescent="0.3">
      <c r="A24" s="9"/>
      <c r="B24" s="9"/>
      <c r="C24" s="9"/>
      <c r="D24" s="9"/>
      <c r="E24" s="9"/>
      <c r="F24" s="9"/>
      <c r="G24" s="9"/>
    </row>
    <row r="25" spans="1:7" x14ac:dyDescent="0.3">
      <c r="A25" s="9"/>
      <c r="B25" s="9"/>
      <c r="C25" s="9"/>
      <c r="D25" s="9"/>
      <c r="E25" s="9"/>
      <c r="F25" s="9"/>
      <c r="G25" s="9"/>
    </row>
    <row r="26" spans="1:7" x14ac:dyDescent="0.3">
      <c r="A26" s="9"/>
      <c r="B26" s="9"/>
      <c r="C26" s="9"/>
      <c r="D26" s="9"/>
      <c r="E26" s="9"/>
      <c r="F26" s="9"/>
      <c r="G26" s="9"/>
    </row>
    <row r="27" spans="1:7" x14ac:dyDescent="0.3">
      <c r="A27" s="9"/>
      <c r="B27" s="9"/>
      <c r="C27" s="9"/>
      <c r="D27" s="9"/>
      <c r="E27" s="9"/>
      <c r="F27" s="9"/>
      <c r="G27" s="9"/>
    </row>
    <row r="28" spans="1:7" x14ac:dyDescent="0.3">
      <c r="A28" s="9"/>
      <c r="B28" s="9"/>
      <c r="C28" s="9"/>
      <c r="D28" s="9"/>
      <c r="E28" s="9"/>
      <c r="F28" s="9"/>
      <c r="G28" s="9"/>
    </row>
    <row r="29" spans="1:7" x14ac:dyDescent="0.3">
      <c r="A29" s="9"/>
      <c r="B29" s="9"/>
      <c r="C29" s="9"/>
      <c r="D29" s="9"/>
      <c r="E29" s="9"/>
      <c r="F29" s="9"/>
      <c r="G29" s="9"/>
    </row>
    <row r="30" spans="1:7" x14ac:dyDescent="0.3">
      <c r="A30" s="9"/>
      <c r="B30" s="9"/>
      <c r="C30" s="9"/>
      <c r="D30" s="9"/>
      <c r="E30" s="9"/>
      <c r="F30" s="9"/>
      <c r="G30" s="9"/>
    </row>
    <row r="31" spans="1:7" x14ac:dyDescent="0.3">
      <c r="A31" s="9"/>
      <c r="B31" s="9"/>
      <c r="C31" s="9"/>
      <c r="D31" s="9"/>
      <c r="E31" s="9"/>
      <c r="F31" s="9"/>
      <c r="G31" s="9"/>
    </row>
    <row r="32" spans="1:7" x14ac:dyDescent="0.3">
      <c r="A32" s="9"/>
      <c r="B32" s="9"/>
      <c r="C32" s="9"/>
      <c r="D32" s="9"/>
      <c r="E32" s="9"/>
      <c r="F32" s="9"/>
      <c r="G32" s="9"/>
    </row>
    <row r="33" spans="1:7" x14ac:dyDescent="0.3">
      <c r="A33" s="9"/>
      <c r="B33" s="9"/>
      <c r="C33" s="9"/>
      <c r="D33" s="9"/>
      <c r="E33" s="9"/>
      <c r="F33" s="9"/>
      <c r="G33" s="9"/>
    </row>
    <row r="34" spans="1:7" x14ac:dyDescent="0.3">
      <c r="A34" s="9"/>
      <c r="B34" s="9"/>
      <c r="C34" s="9"/>
      <c r="D34" s="9"/>
      <c r="E34" s="9"/>
      <c r="F34" s="9"/>
      <c r="G34" s="9"/>
    </row>
    <row r="35" spans="1:7" x14ac:dyDescent="0.3">
      <c r="A35" s="9"/>
      <c r="B35" s="9"/>
      <c r="C35" s="9"/>
      <c r="D35" s="9"/>
      <c r="E35" s="9"/>
      <c r="F35" s="9"/>
      <c r="G35" s="9"/>
    </row>
    <row r="36" spans="1:7" x14ac:dyDescent="0.3">
      <c r="A36" s="9"/>
      <c r="B36" s="9"/>
      <c r="C36" s="9"/>
      <c r="D36" s="9"/>
      <c r="E36" s="9"/>
      <c r="F36" s="9"/>
      <c r="G36" s="9"/>
    </row>
    <row r="37" spans="1:7" x14ac:dyDescent="0.3">
      <c r="A37" s="9"/>
      <c r="B37" s="9"/>
      <c r="C37" s="9"/>
      <c r="D37" s="9"/>
      <c r="E37" s="9"/>
      <c r="F37" s="9"/>
      <c r="G37" s="9"/>
    </row>
    <row r="38" spans="1:7" x14ac:dyDescent="0.3">
      <c r="A38" s="9"/>
      <c r="B38" s="9"/>
      <c r="C38" s="9"/>
      <c r="D38" s="9"/>
      <c r="E38" s="9"/>
      <c r="F38" s="9"/>
      <c r="G38" s="9"/>
    </row>
    <row r="39" spans="1:7" x14ac:dyDescent="0.3">
      <c r="A39" s="9"/>
      <c r="B39" s="9"/>
      <c r="C39" s="9"/>
      <c r="D39" s="9"/>
      <c r="E39" s="9"/>
      <c r="F39" s="9"/>
      <c r="G39" s="9"/>
    </row>
    <row r="40" spans="1:7" x14ac:dyDescent="0.3">
      <c r="A40" s="9"/>
      <c r="B40" s="9"/>
      <c r="C40" s="9"/>
      <c r="D40" s="9"/>
      <c r="E40" s="9"/>
      <c r="F40" s="9"/>
      <c r="G40" s="9"/>
    </row>
    <row r="41" spans="1:7" x14ac:dyDescent="0.3">
      <c r="A41" s="9"/>
      <c r="B41" s="9"/>
      <c r="C41" s="9"/>
      <c r="D41" s="9"/>
      <c r="E41" s="9"/>
      <c r="F41" s="9"/>
      <c r="G41" s="9"/>
    </row>
    <row r="42" spans="1:7" x14ac:dyDescent="0.3">
      <c r="A42" s="9"/>
      <c r="B42" s="9"/>
      <c r="C42" s="9"/>
      <c r="D42" s="9"/>
      <c r="E42" s="9"/>
      <c r="F42" s="9"/>
      <c r="G42" s="9"/>
    </row>
    <row r="43" spans="1:7" x14ac:dyDescent="0.3">
      <c r="A43" s="9"/>
      <c r="B43" s="9"/>
      <c r="C43" s="9"/>
      <c r="D43" s="9"/>
      <c r="E43" s="9"/>
      <c r="F43" s="9"/>
      <c r="G43" s="9"/>
    </row>
    <row r="44" spans="1:7" x14ac:dyDescent="0.3">
      <c r="A44" s="9"/>
      <c r="B44" s="9"/>
      <c r="C44" s="9"/>
      <c r="D44" s="9"/>
      <c r="E44" s="9"/>
      <c r="F44" s="9"/>
      <c r="G44" s="9"/>
    </row>
    <row r="45" spans="1:7" x14ac:dyDescent="0.3">
      <c r="A45" s="9"/>
      <c r="B45" s="9"/>
      <c r="C45" s="9"/>
      <c r="D45" s="9"/>
      <c r="E45" s="9"/>
      <c r="F45" s="9"/>
      <c r="G45" s="9"/>
    </row>
    <row r="46" spans="1:7" x14ac:dyDescent="0.3">
      <c r="A46" s="9"/>
      <c r="B46" s="9"/>
      <c r="C46" s="9"/>
      <c r="D46" s="9"/>
      <c r="E46" s="9"/>
      <c r="F46" s="9"/>
      <c r="G46" s="9"/>
    </row>
    <row r="47" spans="1:7" x14ac:dyDescent="0.3">
      <c r="A47" s="9"/>
      <c r="B47" s="9"/>
      <c r="C47" s="9"/>
      <c r="D47" s="9"/>
      <c r="E47" s="9"/>
      <c r="F47" s="9"/>
      <c r="G47" s="9"/>
    </row>
    <row r="48" spans="1:7" x14ac:dyDescent="0.3">
      <c r="A48" s="9"/>
      <c r="B48" s="9"/>
      <c r="C48" s="9"/>
      <c r="D48" s="9"/>
      <c r="E48" s="9"/>
      <c r="F48" s="9"/>
      <c r="G48" s="9"/>
    </row>
    <row r="49" spans="1:7" x14ac:dyDescent="0.3">
      <c r="A49" s="9"/>
      <c r="B49" s="9"/>
      <c r="C49" s="9"/>
      <c r="D49" s="9"/>
      <c r="E49" s="9"/>
      <c r="F49" s="9"/>
      <c r="G49" s="9"/>
    </row>
    <row r="50" spans="1:7" x14ac:dyDescent="0.3">
      <c r="A50" s="9"/>
      <c r="B50" s="9"/>
      <c r="C50" s="9"/>
      <c r="D50" s="9"/>
      <c r="E50" s="9"/>
      <c r="F50" s="9"/>
      <c r="G50" s="9"/>
    </row>
    <row r="51" spans="1:7" x14ac:dyDescent="0.3">
      <c r="A51" s="9"/>
      <c r="B51" s="9"/>
      <c r="C51" s="9"/>
      <c r="D51" s="9"/>
      <c r="E51" s="9"/>
      <c r="F51" s="9"/>
      <c r="G51" s="9"/>
    </row>
    <row r="52" spans="1:7" x14ac:dyDescent="0.3">
      <c r="A52" s="9"/>
      <c r="B52" s="9"/>
      <c r="C52" s="9"/>
      <c r="D52" s="9"/>
      <c r="E52" s="9"/>
      <c r="F52" s="9"/>
      <c r="G52" s="9"/>
    </row>
    <row r="53" spans="1:7" x14ac:dyDescent="0.3">
      <c r="A53" s="9"/>
      <c r="B53" s="9"/>
      <c r="C53" s="9"/>
      <c r="D53" s="9"/>
      <c r="E53" s="9"/>
      <c r="F53" s="9"/>
      <c r="G53" s="9"/>
    </row>
    <row r="54" spans="1:7" x14ac:dyDescent="0.3">
      <c r="A54" s="9"/>
      <c r="B54" s="9"/>
      <c r="C54" s="9"/>
      <c r="D54" s="9"/>
      <c r="E54" s="9"/>
      <c r="F54" s="9"/>
      <c r="G54" s="9"/>
    </row>
    <row r="55" spans="1:7" x14ac:dyDescent="0.3">
      <c r="A55" s="9"/>
      <c r="B55" s="9"/>
      <c r="C55" s="9"/>
      <c r="D55" s="9"/>
      <c r="E55" s="9"/>
      <c r="F55" s="9"/>
      <c r="G55" s="9"/>
    </row>
    <row r="56" spans="1:7" x14ac:dyDescent="0.3">
      <c r="A56" s="9"/>
      <c r="B56" s="9"/>
      <c r="C56" s="9"/>
      <c r="D56" s="9"/>
      <c r="E56" s="9"/>
      <c r="F56" s="9"/>
      <c r="G56" s="9"/>
    </row>
    <row r="57" spans="1:7" x14ac:dyDescent="0.3">
      <c r="A57" s="9"/>
      <c r="B57" s="9"/>
      <c r="C57" s="9"/>
      <c r="D57" s="9"/>
      <c r="E57" s="9"/>
      <c r="F57" s="9"/>
      <c r="G57" s="9"/>
    </row>
    <row r="58" spans="1:7" x14ac:dyDescent="0.3">
      <c r="A58" s="9"/>
      <c r="B58" s="9"/>
      <c r="C58" s="9"/>
      <c r="D58" s="9"/>
      <c r="E58" s="9"/>
      <c r="F58" s="9"/>
      <c r="G58" s="9"/>
    </row>
    <row r="59" spans="1:7" x14ac:dyDescent="0.3">
      <c r="A59" s="9"/>
      <c r="B59" s="9"/>
      <c r="C59" s="9"/>
      <c r="D59" s="9"/>
      <c r="E59" s="9"/>
      <c r="F59" s="9"/>
      <c r="G59" s="9"/>
    </row>
    <row r="60" spans="1:7" x14ac:dyDescent="0.3">
      <c r="A60" s="9"/>
      <c r="B60" s="9"/>
      <c r="C60" s="9"/>
      <c r="D60" s="9"/>
      <c r="E60" s="9"/>
      <c r="F60" s="9"/>
      <c r="G60" s="9"/>
    </row>
    <row r="61" spans="1:7" x14ac:dyDescent="0.3">
      <c r="A61" s="9"/>
      <c r="B61" s="9"/>
      <c r="C61" s="9"/>
      <c r="D61" s="9"/>
      <c r="E61" s="9"/>
      <c r="F61" s="9"/>
      <c r="G61" s="9"/>
    </row>
    <row r="62" spans="1:7" x14ac:dyDescent="0.3">
      <c r="A62" s="9"/>
      <c r="B62" s="9"/>
      <c r="C62" s="9"/>
      <c r="D62" s="9"/>
      <c r="E62" s="9"/>
      <c r="F62" s="9"/>
      <c r="G62" s="9"/>
    </row>
    <row r="63" spans="1:7" x14ac:dyDescent="0.3">
      <c r="A63" s="9"/>
      <c r="B63" s="9"/>
      <c r="C63" s="9"/>
      <c r="D63" s="9"/>
      <c r="E63" s="9"/>
      <c r="F63" s="9"/>
      <c r="G63" s="9"/>
    </row>
    <row r="64" spans="1:7" x14ac:dyDescent="0.3">
      <c r="A64" s="9"/>
      <c r="B64" s="9"/>
      <c r="C64" s="9"/>
      <c r="D64" s="9"/>
      <c r="E64" s="9"/>
      <c r="F64" s="9"/>
      <c r="G64" s="9"/>
    </row>
    <row r="65" spans="1:7" x14ac:dyDescent="0.3">
      <c r="A65" s="9"/>
      <c r="B65" s="9"/>
      <c r="C65" s="9"/>
      <c r="D65" s="9"/>
      <c r="E65" s="9"/>
      <c r="F65" s="9"/>
      <c r="G65" s="9"/>
    </row>
    <row r="66" spans="1:7" x14ac:dyDescent="0.3">
      <c r="A66" s="9"/>
      <c r="B66" s="9"/>
      <c r="C66" s="9"/>
      <c r="D66" s="9"/>
      <c r="E66" s="9"/>
      <c r="F66" s="9"/>
      <c r="G66" s="9"/>
    </row>
    <row r="67" spans="1:7" x14ac:dyDescent="0.3">
      <c r="A67" s="9"/>
      <c r="B67" s="9"/>
      <c r="C67" s="9"/>
      <c r="D67" s="9"/>
      <c r="E67" s="9"/>
      <c r="F67" s="9"/>
      <c r="G67" s="9"/>
    </row>
    <row r="68" spans="1:7" x14ac:dyDescent="0.3">
      <c r="A68" s="9"/>
      <c r="B68" s="9"/>
      <c r="C68" s="9"/>
      <c r="D68" s="9"/>
      <c r="E68" s="9"/>
      <c r="F68" s="9"/>
      <c r="G68" s="9"/>
    </row>
    <row r="69" spans="1:7" x14ac:dyDescent="0.3">
      <c r="A69" s="9"/>
      <c r="B69" s="9"/>
      <c r="C69" s="9"/>
      <c r="D69" s="9"/>
      <c r="E69" s="9"/>
      <c r="F69" s="9"/>
      <c r="G69" s="9"/>
    </row>
    <row r="70" spans="1:7" x14ac:dyDescent="0.3">
      <c r="A70" s="9"/>
      <c r="B70" s="9"/>
      <c r="C70" s="9"/>
      <c r="D70" s="9"/>
      <c r="E70" s="9"/>
      <c r="F70" s="9"/>
      <c r="G70" s="9"/>
    </row>
    <row r="71" spans="1:7" x14ac:dyDescent="0.3">
      <c r="A71" s="9"/>
      <c r="B71" s="9"/>
      <c r="C71" s="9"/>
      <c r="D71" s="9"/>
      <c r="E71" s="9"/>
      <c r="F71" s="9"/>
      <c r="G71" s="9"/>
    </row>
    <row r="72" spans="1:7" x14ac:dyDescent="0.3">
      <c r="A72" s="9"/>
      <c r="B72" s="9"/>
      <c r="C72" s="9"/>
      <c r="D72" s="9"/>
      <c r="E72" s="9"/>
      <c r="F72" s="9"/>
      <c r="G72" s="9"/>
    </row>
    <row r="73" spans="1:7" x14ac:dyDescent="0.3">
      <c r="A73" s="9"/>
      <c r="B73" s="9"/>
      <c r="C73" s="9"/>
      <c r="D73" s="9"/>
      <c r="E73" s="9"/>
      <c r="F73" s="9"/>
      <c r="G73" s="9"/>
    </row>
    <row r="74" spans="1:7" x14ac:dyDescent="0.3">
      <c r="A74" s="9"/>
      <c r="B74" s="9"/>
      <c r="C74" s="9"/>
      <c r="D74" s="9"/>
      <c r="E74" s="9"/>
      <c r="F74" s="9"/>
      <c r="G74" s="9"/>
    </row>
    <row r="75" spans="1:7" x14ac:dyDescent="0.3">
      <c r="A75" s="9"/>
      <c r="B75" s="9"/>
      <c r="C75" s="9"/>
      <c r="D75" s="9"/>
      <c r="E75" s="9"/>
      <c r="F75" s="9"/>
      <c r="G75" s="9"/>
    </row>
    <row r="76" spans="1:7" x14ac:dyDescent="0.3">
      <c r="A76" s="9"/>
      <c r="B76" s="9"/>
      <c r="C76" s="9"/>
      <c r="D76" s="9"/>
      <c r="E76" s="9"/>
      <c r="F76" s="9"/>
      <c r="G76" s="9"/>
    </row>
    <row r="77" spans="1:7" x14ac:dyDescent="0.3">
      <c r="A77" s="9"/>
      <c r="B77" s="9"/>
      <c r="C77" s="9"/>
      <c r="D77" s="9"/>
      <c r="E77" s="9"/>
      <c r="F77" s="9"/>
      <c r="G77" s="9"/>
    </row>
    <row r="78" spans="1:7" x14ac:dyDescent="0.3">
      <c r="A78" s="9"/>
      <c r="B78" s="9"/>
      <c r="C78" s="9"/>
      <c r="D78" s="9"/>
      <c r="E78" s="9"/>
      <c r="F78" s="9"/>
      <c r="G78" s="9"/>
    </row>
    <row r="79" spans="1:7" x14ac:dyDescent="0.3">
      <c r="A79" s="9"/>
      <c r="B79" s="9"/>
      <c r="C79" s="9"/>
      <c r="D79" s="9"/>
      <c r="E79" s="9"/>
      <c r="F79" s="9"/>
      <c r="G79" s="9"/>
    </row>
    <row r="80" spans="1:7" x14ac:dyDescent="0.3">
      <c r="A80" s="9"/>
      <c r="B80" s="9"/>
      <c r="C80" s="9"/>
      <c r="D80" s="9"/>
      <c r="E80" s="9"/>
      <c r="F80" s="9"/>
      <c r="G80" s="9"/>
    </row>
    <row r="81" spans="1:7" x14ac:dyDescent="0.3">
      <c r="A81" s="9"/>
      <c r="B81" s="9"/>
      <c r="C81" s="9"/>
      <c r="D81" s="9"/>
      <c r="E81" s="9"/>
      <c r="F81" s="9"/>
      <c r="G81" s="9"/>
    </row>
    <row r="82" spans="1:7" x14ac:dyDescent="0.3">
      <c r="A82" s="9"/>
      <c r="B82" s="9"/>
      <c r="C82" s="9"/>
      <c r="D82" s="9"/>
      <c r="E82" s="9"/>
      <c r="F82" s="9"/>
      <c r="G82" s="9"/>
    </row>
    <row r="83" spans="1:7" x14ac:dyDescent="0.3">
      <c r="A83" s="9"/>
      <c r="B83" s="9"/>
      <c r="C83" s="9"/>
      <c r="D83" s="9"/>
      <c r="E83" s="9"/>
      <c r="F83" s="9"/>
      <c r="G83" s="9"/>
    </row>
    <row r="84" spans="1:7" x14ac:dyDescent="0.3">
      <c r="A84" s="9"/>
      <c r="B84" s="9"/>
      <c r="C84" s="9"/>
      <c r="D84" s="9"/>
      <c r="E84" s="9"/>
      <c r="F84" s="9"/>
      <c r="G84" s="9"/>
    </row>
    <row r="85" spans="1:7" x14ac:dyDescent="0.3">
      <c r="A85" s="9"/>
      <c r="B85" s="9"/>
      <c r="C85" s="9"/>
      <c r="D85" s="9"/>
      <c r="E85" s="9"/>
      <c r="F85" s="9"/>
      <c r="G85" s="9"/>
    </row>
    <row r="86" spans="1:7" x14ac:dyDescent="0.3">
      <c r="A86" s="9"/>
      <c r="B86" s="9"/>
      <c r="C86" s="9"/>
      <c r="D86" s="9"/>
      <c r="E86" s="9"/>
      <c r="F86" s="9"/>
      <c r="G86" s="9"/>
    </row>
    <row r="87" spans="1:7" x14ac:dyDescent="0.3">
      <c r="A87" s="9"/>
      <c r="B87" s="9"/>
      <c r="C87" s="9"/>
      <c r="D87" s="9"/>
      <c r="E87" s="9"/>
      <c r="F87" s="9"/>
      <c r="G87" s="9"/>
    </row>
    <row r="88" spans="1:7" x14ac:dyDescent="0.3">
      <c r="A88" s="9"/>
      <c r="B88" s="9"/>
      <c r="C88" s="9"/>
      <c r="D88" s="9"/>
      <c r="E88" s="9"/>
      <c r="F88" s="9"/>
      <c r="G88" s="9"/>
    </row>
    <row r="89" spans="1:7" x14ac:dyDescent="0.3">
      <c r="A89" s="9"/>
      <c r="B89" s="9"/>
      <c r="C89" s="9"/>
      <c r="D89" s="9"/>
      <c r="E89" s="9"/>
      <c r="F89" s="9"/>
      <c r="G89" s="9"/>
    </row>
    <row r="90" spans="1:7" x14ac:dyDescent="0.3">
      <c r="A90" s="9"/>
      <c r="B90" s="9"/>
      <c r="C90" s="9"/>
      <c r="D90" s="9"/>
      <c r="E90" s="9"/>
      <c r="F90" s="9"/>
      <c r="G90" s="9"/>
    </row>
    <row r="91" spans="1:7" x14ac:dyDescent="0.3">
      <c r="A91" s="9"/>
      <c r="B91" s="9"/>
      <c r="C91" s="9"/>
      <c r="D91" s="9"/>
      <c r="E91" s="9"/>
      <c r="F91" s="9"/>
      <c r="G91" s="9"/>
    </row>
    <row r="92" spans="1:7" x14ac:dyDescent="0.3">
      <c r="A92" s="9"/>
      <c r="B92" s="9"/>
      <c r="C92" s="9"/>
      <c r="D92" s="9"/>
      <c r="E92" s="9"/>
      <c r="F92" s="9"/>
      <c r="G92" s="9"/>
    </row>
    <row r="93" spans="1:7" x14ac:dyDescent="0.3">
      <c r="A93" s="9"/>
      <c r="B93" s="9"/>
      <c r="C93" s="9"/>
      <c r="D93" s="9"/>
      <c r="E93" s="9"/>
      <c r="F93" s="9"/>
      <c r="G93" s="9"/>
    </row>
    <row r="94" spans="1:7" x14ac:dyDescent="0.3">
      <c r="A94" s="9"/>
      <c r="B94" s="9"/>
      <c r="C94" s="9"/>
      <c r="D94" s="9"/>
      <c r="E94" s="9"/>
      <c r="F94" s="9"/>
      <c r="G94" s="9"/>
    </row>
    <row r="95" spans="1:7" x14ac:dyDescent="0.3">
      <c r="A95" s="9"/>
      <c r="B95" s="9"/>
      <c r="C95" s="9"/>
      <c r="D95" s="9"/>
      <c r="E95" s="9"/>
      <c r="F95" s="9"/>
      <c r="G95" s="9"/>
    </row>
    <row r="96" spans="1:7" x14ac:dyDescent="0.3">
      <c r="A96" s="9"/>
      <c r="B96" s="9"/>
      <c r="C96" s="9"/>
      <c r="D96" s="9"/>
      <c r="E96" s="9"/>
      <c r="F96" s="9"/>
      <c r="G96" s="9"/>
    </row>
    <row r="97" spans="1:7" x14ac:dyDescent="0.3">
      <c r="A97" s="9"/>
      <c r="B97" s="9"/>
      <c r="C97" s="9"/>
      <c r="D97" s="9"/>
      <c r="E97" s="9"/>
      <c r="F97" s="9"/>
      <c r="G97" s="9"/>
    </row>
    <row r="98" spans="1:7" x14ac:dyDescent="0.3">
      <c r="A98" s="9"/>
      <c r="B98" s="9"/>
      <c r="C98" s="9"/>
      <c r="D98" s="9"/>
      <c r="E98" s="9"/>
      <c r="F98" s="9"/>
      <c r="G98" s="9"/>
    </row>
    <row r="99" spans="1:7" x14ac:dyDescent="0.3">
      <c r="A99" s="9"/>
      <c r="B99" s="9"/>
      <c r="C99" s="9"/>
      <c r="D99" s="9"/>
      <c r="E99" s="9"/>
      <c r="F99" s="9"/>
      <c r="G99" s="9"/>
    </row>
    <row r="100" spans="1:7" x14ac:dyDescent="0.3">
      <c r="A100" s="9"/>
      <c r="B100" s="9"/>
      <c r="C100" s="9"/>
      <c r="D100" s="9"/>
      <c r="E100" s="9"/>
      <c r="F100" s="9"/>
      <c r="G100" s="9"/>
    </row>
    <row r="101" spans="1:7" x14ac:dyDescent="0.3">
      <c r="A101" s="9"/>
      <c r="B101" s="9"/>
      <c r="C101" s="9"/>
      <c r="D101" s="9"/>
      <c r="E101" s="9"/>
      <c r="F101" s="9"/>
      <c r="G101" s="9"/>
    </row>
    <row r="102" spans="1:7" x14ac:dyDescent="0.3">
      <c r="A102" s="9"/>
      <c r="B102" s="9"/>
      <c r="C102" s="9"/>
      <c r="D102" s="9"/>
      <c r="E102" s="9"/>
      <c r="F102" s="9"/>
      <c r="G102" s="9"/>
    </row>
    <row r="103" spans="1:7" x14ac:dyDescent="0.3">
      <c r="A103" s="9"/>
      <c r="B103" s="9"/>
      <c r="C103" s="9"/>
      <c r="D103" s="9"/>
      <c r="E103" s="9"/>
      <c r="F103" s="9"/>
      <c r="G103" s="9"/>
    </row>
    <row r="104" spans="1:7" x14ac:dyDescent="0.3">
      <c r="A104" s="9"/>
      <c r="B104" s="9"/>
      <c r="C104" s="9"/>
      <c r="D104" s="9"/>
      <c r="E104" s="9"/>
      <c r="F104" s="9"/>
      <c r="G104" s="9"/>
    </row>
    <row r="105" spans="1:7" x14ac:dyDescent="0.3">
      <c r="A105" s="9"/>
      <c r="B105" s="9"/>
      <c r="C105" s="9"/>
      <c r="D105" s="9"/>
      <c r="E105" s="9"/>
      <c r="F105" s="9"/>
      <c r="G105" s="9"/>
    </row>
    <row r="106" spans="1:7" x14ac:dyDescent="0.3">
      <c r="A106" s="9"/>
      <c r="B106" s="9"/>
      <c r="C106" s="9"/>
      <c r="D106" s="9"/>
      <c r="E106" s="9"/>
      <c r="F106" s="9"/>
      <c r="G106" s="9"/>
    </row>
    <row r="107" spans="1:7" x14ac:dyDescent="0.3">
      <c r="A107" s="9"/>
      <c r="B107" s="9"/>
      <c r="C107" s="9"/>
      <c r="D107" s="9"/>
      <c r="E107" s="9"/>
      <c r="F107" s="9"/>
      <c r="G107" s="9"/>
    </row>
    <row r="108" spans="1:7" x14ac:dyDescent="0.3">
      <c r="A108" s="9"/>
      <c r="B108" s="9"/>
      <c r="C108" s="9"/>
      <c r="D108" s="9"/>
      <c r="E108" s="9"/>
      <c r="F108" s="9"/>
      <c r="G108" s="9"/>
    </row>
    <row r="109" spans="1:7" x14ac:dyDescent="0.3">
      <c r="A109" s="9"/>
      <c r="B109" s="9"/>
      <c r="C109" s="9"/>
      <c r="D109" s="9"/>
      <c r="E109" s="9"/>
      <c r="F109" s="9"/>
      <c r="G109" s="9"/>
    </row>
    <row r="110" spans="1:7" x14ac:dyDescent="0.3">
      <c r="A110" s="9"/>
      <c r="B110" s="9"/>
      <c r="C110" s="9"/>
      <c r="D110" s="9"/>
      <c r="E110" s="9"/>
      <c r="F110" s="9"/>
      <c r="G110" s="9"/>
    </row>
    <row r="111" spans="1:7" x14ac:dyDescent="0.3">
      <c r="A111" s="9"/>
      <c r="B111" s="9"/>
      <c r="C111" s="9"/>
      <c r="D111" s="9"/>
      <c r="E111" s="9"/>
      <c r="F111" s="9"/>
      <c r="G111" s="9"/>
    </row>
    <row r="112" spans="1:7" x14ac:dyDescent="0.3">
      <c r="A112" s="9"/>
      <c r="B112" s="9"/>
      <c r="C112" s="9"/>
      <c r="D112" s="9"/>
      <c r="E112" s="9"/>
      <c r="F112" s="9"/>
      <c r="G112" s="9"/>
    </row>
    <row r="113" spans="1:7" x14ac:dyDescent="0.3">
      <c r="A113" s="9"/>
      <c r="B113" s="9"/>
      <c r="C113" s="9"/>
      <c r="D113" s="9"/>
      <c r="E113" s="9"/>
      <c r="F113" s="9"/>
      <c r="G113" s="9"/>
    </row>
    <row r="114" spans="1:7" x14ac:dyDescent="0.3">
      <c r="A114" s="9"/>
      <c r="B114" s="9"/>
      <c r="C114" s="9"/>
      <c r="D114" s="9"/>
      <c r="E114" s="9"/>
      <c r="F114" s="9"/>
      <c r="G114" s="9"/>
    </row>
    <row r="115" spans="1:7" x14ac:dyDescent="0.3">
      <c r="A115" s="9"/>
      <c r="B115" s="9"/>
      <c r="C115" s="9"/>
      <c r="D115" s="9"/>
      <c r="E115" s="9"/>
      <c r="F115" s="9"/>
      <c r="G115" s="9"/>
    </row>
    <row r="116" spans="1:7" x14ac:dyDescent="0.3">
      <c r="A116" s="9"/>
      <c r="B116" s="9"/>
      <c r="C116" s="9"/>
      <c r="D116" s="9"/>
      <c r="E116" s="9"/>
      <c r="F116" s="9"/>
      <c r="G116" s="9"/>
    </row>
    <row r="117" spans="1:7" x14ac:dyDescent="0.3">
      <c r="A117" s="9"/>
      <c r="B117" s="9"/>
      <c r="C117" s="9"/>
      <c r="D117" s="9"/>
      <c r="E117" s="9"/>
      <c r="F117" s="9"/>
      <c r="G117" s="9"/>
    </row>
    <row r="118" spans="1:7" x14ac:dyDescent="0.3">
      <c r="A118" s="9"/>
      <c r="B118" s="9"/>
      <c r="C118" s="9"/>
      <c r="D118" s="9"/>
      <c r="E118" s="9"/>
      <c r="F118" s="9"/>
      <c r="G118" s="9"/>
    </row>
    <row r="119" spans="1:7" x14ac:dyDescent="0.3">
      <c r="A119" s="9"/>
      <c r="B119" s="9"/>
      <c r="C119" s="9"/>
      <c r="D119" s="9"/>
      <c r="E119" s="9"/>
      <c r="F119" s="9"/>
      <c r="G119" s="9"/>
    </row>
    <row r="120" spans="1:7" x14ac:dyDescent="0.3">
      <c r="A120" s="9"/>
      <c r="B120" s="9"/>
      <c r="C120" s="9"/>
      <c r="D120" s="9"/>
      <c r="E120" s="9"/>
      <c r="F120" s="9"/>
      <c r="G120" s="9"/>
    </row>
    <row r="121" spans="1:7" x14ac:dyDescent="0.3">
      <c r="A121" s="9"/>
      <c r="B121" s="9"/>
      <c r="C121" s="9"/>
      <c r="D121" s="9"/>
      <c r="E121" s="9"/>
      <c r="F121" s="9"/>
      <c r="G121" s="9"/>
    </row>
    <row r="122" spans="1:7" x14ac:dyDescent="0.3">
      <c r="A122" s="9"/>
      <c r="B122" s="9"/>
      <c r="C122" s="9"/>
      <c r="D122" s="9"/>
      <c r="E122" s="9"/>
      <c r="F122" s="9"/>
      <c r="G122" s="9"/>
    </row>
    <row r="123" spans="1:7" x14ac:dyDescent="0.3">
      <c r="A123" s="9"/>
      <c r="B123" s="9"/>
      <c r="C123" s="9"/>
      <c r="D123" s="9"/>
      <c r="E123" s="9"/>
      <c r="F123" s="9"/>
      <c r="G123" s="9"/>
    </row>
    <row r="124" spans="1:7" x14ac:dyDescent="0.3">
      <c r="A124" s="9"/>
      <c r="B124" s="9"/>
      <c r="C124" s="9"/>
      <c r="D124" s="9"/>
      <c r="E124" s="9"/>
      <c r="F124" s="9"/>
      <c r="G124" s="9"/>
    </row>
    <row r="125" spans="1:7" x14ac:dyDescent="0.3">
      <c r="A125" s="9"/>
      <c r="B125" s="9"/>
      <c r="C125" s="9"/>
      <c r="D125" s="9"/>
      <c r="E125" s="9"/>
      <c r="F125" s="9"/>
      <c r="G125" s="9"/>
    </row>
    <row r="126" spans="1:7" x14ac:dyDescent="0.3">
      <c r="A126" s="9"/>
      <c r="B126" s="9"/>
      <c r="C126" s="9"/>
      <c r="D126" s="9"/>
      <c r="E126" s="9"/>
      <c r="F126" s="9"/>
      <c r="G126" s="9"/>
    </row>
    <row r="127" spans="1:7" x14ac:dyDescent="0.3">
      <c r="A127" s="9"/>
      <c r="B127" s="9"/>
      <c r="C127" s="9"/>
      <c r="D127" s="9"/>
      <c r="E127" s="9"/>
      <c r="F127" s="9"/>
      <c r="G127" s="9"/>
    </row>
    <row r="128" spans="1:7" x14ac:dyDescent="0.3">
      <c r="A128" s="9"/>
      <c r="B128" s="9"/>
      <c r="C128" s="9"/>
      <c r="D128" s="9"/>
      <c r="E128" s="9"/>
      <c r="F128" s="9"/>
      <c r="G128" s="9"/>
    </row>
    <row r="129" spans="1:7" x14ac:dyDescent="0.3">
      <c r="A129" s="9"/>
      <c r="B129" s="9"/>
      <c r="C129" s="9"/>
      <c r="D129" s="9"/>
      <c r="E129" s="9"/>
      <c r="F129" s="9"/>
      <c r="G129" s="9"/>
    </row>
    <row r="130" spans="1:7" x14ac:dyDescent="0.3">
      <c r="A130" s="9"/>
      <c r="B130" s="9"/>
      <c r="C130" s="9"/>
      <c r="D130" s="9"/>
      <c r="E130" s="9"/>
      <c r="F130" s="9"/>
      <c r="G130" s="9"/>
    </row>
    <row r="131" spans="1:7" x14ac:dyDescent="0.3">
      <c r="A131" s="9"/>
      <c r="B131" s="9"/>
      <c r="C131" s="9"/>
      <c r="D131" s="9"/>
      <c r="E131" s="9"/>
      <c r="F131" s="9"/>
      <c r="G131" s="9"/>
    </row>
    <row r="132" spans="1:7" x14ac:dyDescent="0.3">
      <c r="A132" s="9"/>
      <c r="B132" s="9"/>
      <c r="C132" s="9"/>
      <c r="D132" s="9"/>
      <c r="E132" s="9"/>
      <c r="F132" s="9"/>
      <c r="G132" s="9"/>
    </row>
    <row r="133" spans="1:7" x14ac:dyDescent="0.3">
      <c r="A133" s="9"/>
      <c r="B133" s="9"/>
      <c r="C133" s="9"/>
      <c r="D133" s="9"/>
      <c r="E133" s="9"/>
      <c r="F133" s="9"/>
      <c r="G133" s="9"/>
    </row>
    <row r="134" spans="1:7" x14ac:dyDescent="0.3">
      <c r="A134" s="9"/>
      <c r="B134" s="9"/>
      <c r="C134" s="9"/>
      <c r="D134" s="9"/>
      <c r="E134" s="9"/>
      <c r="F134" s="9"/>
      <c r="G134" s="9"/>
    </row>
    <row r="135" spans="1:7" x14ac:dyDescent="0.3">
      <c r="A135" s="9"/>
      <c r="B135" s="9"/>
      <c r="C135" s="9"/>
      <c r="D135" s="9"/>
      <c r="E135" s="9"/>
      <c r="F135" s="9"/>
      <c r="G135" s="9"/>
    </row>
    <row r="136" spans="1:7" x14ac:dyDescent="0.3">
      <c r="A136" s="9"/>
      <c r="B136" s="9"/>
      <c r="C136" s="9"/>
      <c r="D136" s="9"/>
      <c r="E136" s="9"/>
      <c r="F136" s="9"/>
      <c r="G136" s="9"/>
    </row>
    <row r="137" spans="1:7" x14ac:dyDescent="0.3">
      <c r="A137" s="9"/>
      <c r="B137" s="9"/>
      <c r="C137" s="9"/>
      <c r="D137" s="9"/>
      <c r="E137" s="9"/>
      <c r="F137" s="9"/>
      <c r="G137" s="9"/>
    </row>
    <row r="138" spans="1:7" x14ac:dyDescent="0.3">
      <c r="A138" s="9"/>
      <c r="B138" s="9"/>
      <c r="C138" s="9"/>
      <c r="D138" s="9"/>
      <c r="E138" s="9"/>
      <c r="F138" s="9"/>
      <c r="G138" s="9"/>
    </row>
    <row r="139" spans="1:7" x14ac:dyDescent="0.3">
      <c r="A139" s="9"/>
      <c r="B139" s="9"/>
      <c r="C139" s="9"/>
      <c r="D139" s="9"/>
      <c r="E139" s="9"/>
      <c r="F139" s="9"/>
      <c r="G139" s="9"/>
    </row>
    <row r="140" spans="1:7" x14ac:dyDescent="0.3">
      <c r="A140" s="9"/>
      <c r="B140" s="9"/>
      <c r="C140" s="9"/>
      <c r="D140" s="9"/>
      <c r="E140" s="9"/>
      <c r="F140" s="9"/>
      <c r="G140" s="9"/>
    </row>
    <row r="141" spans="1:7" x14ac:dyDescent="0.3">
      <c r="A141" s="9"/>
      <c r="B141" s="9"/>
      <c r="C141" s="9"/>
      <c r="D141" s="9"/>
      <c r="E141" s="9"/>
      <c r="F141" s="9"/>
      <c r="G141" s="9"/>
    </row>
    <row r="142" spans="1:7" x14ac:dyDescent="0.3">
      <c r="A142" s="9"/>
      <c r="B142" s="9"/>
      <c r="C142" s="9"/>
      <c r="D142" s="9"/>
      <c r="E142" s="9"/>
      <c r="F142" s="9"/>
      <c r="G142" s="9"/>
    </row>
    <row r="143" spans="1:7" x14ac:dyDescent="0.3">
      <c r="A143" s="9"/>
      <c r="B143" s="9"/>
      <c r="C143" s="9"/>
      <c r="D143" s="9"/>
      <c r="E143" s="9"/>
      <c r="F143" s="9"/>
      <c r="G143" s="9"/>
    </row>
    <row r="144" spans="1:7" x14ac:dyDescent="0.3">
      <c r="A144" s="9"/>
      <c r="B144" s="9"/>
      <c r="C144" s="9"/>
      <c r="D144" s="9"/>
      <c r="E144" s="9"/>
      <c r="F144" s="9"/>
      <c r="G144" s="9"/>
    </row>
    <row r="145" spans="1:7" x14ac:dyDescent="0.3">
      <c r="A145" s="9"/>
      <c r="B145" s="9"/>
      <c r="C145" s="9"/>
      <c r="D145" s="9"/>
      <c r="E145" s="9"/>
      <c r="F145" s="9"/>
      <c r="G145" s="9"/>
    </row>
    <row r="146" spans="1:7" x14ac:dyDescent="0.3">
      <c r="A146" s="9"/>
      <c r="B146" s="9"/>
      <c r="C146" s="9"/>
      <c r="D146" s="9"/>
      <c r="E146" s="9"/>
      <c r="F146" s="9"/>
      <c r="G146" s="9"/>
    </row>
    <row r="147" spans="1:7" x14ac:dyDescent="0.3">
      <c r="A147" s="9"/>
      <c r="B147" s="9"/>
      <c r="C147" s="9"/>
      <c r="D147" s="9"/>
      <c r="E147" s="9"/>
      <c r="F147" s="9"/>
      <c r="G147" s="9"/>
    </row>
    <row r="148" spans="1:7" x14ac:dyDescent="0.3">
      <c r="A148" s="9"/>
      <c r="B148" s="9"/>
      <c r="C148" s="9"/>
      <c r="D148" s="9"/>
      <c r="E148" s="9"/>
      <c r="F148" s="9"/>
      <c r="G148" s="9"/>
    </row>
    <row r="149" spans="1:7" x14ac:dyDescent="0.3">
      <c r="A149" s="9"/>
      <c r="B149" s="9"/>
      <c r="C149" s="9"/>
      <c r="D149" s="9"/>
      <c r="E149" s="9"/>
      <c r="F149" s="9"/>
      <c r="G149" s="9"/>
    </row>
    <row r="150" spans="1:7" x14ac:dyDescent="0.3">
      <c r="A150" s="9"/>
      <c r="B150" s="9"/>
      <c r="C150" s="9"/>
      <c r="D150" s="9"/>
      <c r="E150" s="9"/>
      <c r="F150" s="9"/>
      <c r="G150" s="9"/>
    </row>
    <row r="151" spans="1:7" x14ac:dyDescent="0.3">
      <c r="A151" s="9"/>
      <c r="B151" s="9"/>
      <c r="C151" s="9"/>
      <c r="D151" s="9"/>
      <c r="E151" s="9"/>
      <c r="F151" s="9"/>
      <c r="G151" s="9"/>
    </row>
    <row r="152" spans="1:7" x14ac:dyDescent="0.3">
      <c r="A152" s="9"/>
      <c r="B152" s="9"/>
      <c r="C152" s="9"/>
      <c r="D152" s="9"/>
      <c r="E152" s="9"/>
      <c r="F152" s="9"/>
      <c r="G152" s="9"/>
    </row>
    <row r="153" spans="1:7" x14ac:dyDescent="0.3">
      <c r="A153" s="9"/>
      <c r="B153" s="9"/>
      <c r="C153" s="9"/>
      <c r="D153" s="9"/>
      <c r="E153" s="9"/>
      <c r="F153" s="9"/>
      <c r="G153" s="9"/>
    </row>
    <row r="154" spans="1:7" x14ac:dyDescent="0.3">
      <c r="A154" s="9"/>
      <c r="B154" s="9"/>
      <c r="C154" s="9"/>
      <c r="D154" s="9"/>
      <c r="E154" s="9"/>
      <c r="F154" s="9"/>
      <c r="G154" s="9"/>
    </row>
    <row r="155" spans="1:7" x14ac:dyDescent="0.3">
      <c r="A155" s="9"/>
      <c r="B155" s="9"/>
      <c r="C155" s="9"/>
      <c r="D155" s="9"/>
      <c r="E155" s="9"/>
      <c r="F155" s="9"/>
      <c r="G155" s="9"/>
    </row>
    <row r="156" spans="1:7" x14ac:dyDescent="0.3">
      <c r="A156" s="9"/>
      <c r="B156" s="9"/>
      <c r="C156" s="9"/>
      <c r="D156" s="9"/>
      <c r="E156" s="9"/>
      <c r="F156" s="9"/>
      <c r="G156" s="9"/>
    </row>
    <row r="157" spans="1:7" x14ac:dyDescent="0.3">
      <c r="A157" s="9"/>
      <c r="B157" s="9"/>
      <c r="C157" s="9"/>
      <c r="D157" s="9"/>
      <c r="E157" s="9"/>
      <c r="F157" s="9"/>
      <c r="G157" s="9"/>
    </row>
    <row r="158" spans="1:7" x14ac:dyDescent="0.3">
      <c r="A158" s="9"/>
      <c r="B158" s="9"/>
      <c r="C158" s="9"/>
      <c r="D158" s="9"/>
      <c r="E158" s="9"/>
      <c r="F158" s="9"/>
      <c r="G158" s="9"/>
    </row>
    <row r="159" spans="1:7" x14ac:dyDescent="0.3">
      <c r="A159" s="9"/>
      <c r="B159" s="9"/>
      <c r="C159" s="9"/>
      <c r="D159" s="9"/>
      <c r="E159" s="9"/>
      <c r="F159" s="9"/>
      <c r="G159" s="9"/>
    </row>
    <row r="160" spans="1:7" x14ac:dyDescent="0.3">
      <c r="A160" s="9"/>
      <c r="B160" s="9"/>
      <c r="C160" s="9"/>
      <c r="D160" s="9"/>
      <c r="E160" s="9"/>
      <c r="F160" s="9"/>
      <c r="G160" s="9"/>
    </row>
    <row r="161" spans="1:7" x14ac:dyDescent="0.3">
      <c r="A161" s="9"/>
      <c r="B161" s="9"/>
      <c r="C161" s="9"/>
      <c r="D161" s="9"/>
      <c r="E161" s="9"/>
      <c r="F161" s="9"/>
      <c r="G161" s="9"/>
    </row>
    <row r="162" spans="1:7" x14ac:dyDescent="0.3">
      <c r="A162" s="9"/>
      <c r="B162" s="9"/>
      <c r="C162" s="9"/>
      <c r="D162" s="9"/>
      <c r="E162" s="9"/>
      <c r="F162" s="9"/>
      <c r="G162" s="9"/>
    </row>
    <row r="163" spans="1:7" x14ac:dyDescent="0.3">
      <c r="A163" s="9"/>
      <c r="B163" s="9"/>
      <c r="C163" s="9"/>
      <c r="D163" s="9"/>
      <c r="E163" s="9"/>
      <c r="F163" s="9"/>
      <c r="G163" s="9"/>
    </row>
    <row r="164" spans="1:7" x14ac:dyDescent="0.3">
      <c r="A164" s="9"/>
      <c r="B164" s="9"/>
      <c r="C164" s="9"/>
      <c r="D164" s="9"/>
      <c r="E164" s="9"/>
      <c r="F164" s="9"/>
      <c r="G164" s="9"/>
    </row>
    <row r="165" spans="1:7" x14ac:dyDescent="0.3">
      <c r="A165" s="9"/>
      <c r="B165" s="9"/>
      <c r="C165" s="9"/>
      <c r="D165" s="9"/>
      <c r="E165" s="9"/>
      <c r="F165" s="9"/>
      <c r="G165" s="9"/>
    </row>
    <row r="166" spans="1:7" x14ac:dyDescent="0.3">
      <c r="A166" s="9"/>
      <c r="B166" s="9"/>
      <c r="C166" s="9"/>
      <c r="D166" s="9"/>
      <c r="E166" s="9"/>
      <c r="F166" s="9"/>
      <c r="G166" s="9"/>
    </row>
    <row r="167" spans="1:7" x14ac:dyDescent="0.3">
      <c r="A167" s="9"/>
      <c r="B167" s="9"/>
      <c r="C167" s="9"/>
      <c r="D167" s="9"/>
      <c r="E167" s="9"/>
      <c r="F167" s="9"/>
      <c r="G167" s="9"/>
    </row>
    <row r="168" spans="1:7" x14ac:dyDescent="0.3">
      <c r="A168" s="9"/>
      <c r="B168" s="9"/>
      <c r="C168" s="9"/>
      <c r="D168" s="9"/>
      <c r="E168" s="9"/>
      <c r="F168" s="9"/>
      <c r="G168" s="9"/>
    </row>
    <row r="169" spans="1:7" x14ac:dyDescent="0.3">
      <c r="A169" s="9"/>
      <c r="B169" s="9"/>
      <c r="C169" s="9"/>
      <c r="D169" s="9"/>
      <c r="E169" s="9"/>
      <c r="F169" s="9"/>
      <c r="G169" s="9"/>
    </row>
    <row r="170" spans="1:7" x14ac:dyDescent="0.3">
      <c r="A170" s="9"/>
      <c r="B170" s="9"/>
      <c r="C170" s="9"/>
      <c r="D170" s="9"/>
      <c r="E170" s="9"/>
      <c r="F170" s="9"/>
      <c r="G170" s="9"/>
    </row>
    <row r="171" spans="1:7" x14ac:dyDescent="0.3">
      <c r="A171" s="9"/>
      <c r="B171" s="9"/>
      <c r="C171" s="9"/>
      <c r="D171" s="9"/>
      <c r="E171" s="9"/>
      <c r="F171" s="9"/>
      <c r="G171" s="9"/>
    </row>
    <row r="172" spans="1:7" x14ac:dyDescent="0.3">
      <c r="A172" s="9"/>
      <c r="B172" s="9"/>
      <c r="C172" s="9"/>
      <c r="D172" s="9"/>
      <c r="E172" s="9"/>
      <c r="F172" s="9"/>
      <c r="G172" s="9"/>
    </row>
    <row r="173" spans="1:7" x14ac:dyDescent="0.3">
      <c r="A173" s="9"/>
      <c r="B173" s="9"/>
      <c r="C173" s="9"/>
      <c r="D173" s="9"/>
      <c r="E173" s="9"/>
      <c r="F173" s="9"/>
      <c r="G173" s="9"/>
    </row>
    <row r="174" spans="1:7" x14ac:dyDescent="0.3">
      <c r="A174" s="9"/>
      <c r="B174" s="9"/>
      <c r="C174" s="9"/>
      <c r="D174" s="9"/>
      <c r="E174" s="9"/>
      <c r="F174" s="9"/>
      <c r="G174" s="9"/>
    </row>
    <row r="175" spans="1:7" x14ac:dyDescent="0.3">
      <c r="A175" s="9"/>
      <c r="B175" s="9"/>
      <c r="C175" s="9"/>
      <c r="D175" s="9"/>
      <c r="E175" s="9"/>
      <c r="F175" s="9"/>
      <c r="G175" s="9"/>
    </row>
    <row r="176" spans="1:7" x14ac:dyDescent="0.3">
      <c r="A176" s="9"/>
      <c r="B176" s="9"/>
      <c r="C176" s="9"/>
      <c r="D176" s="9"/>
      <c r="E176" s="9"/>
      <c r="F176" s="9"/>
      <c r="G176" s="9"/>
    </row>
    <row r="177" spans="1:7" x14ac:dyDescent="0.3">
      <c r="A177" s="9"/>
      <c r="B177" s="9"/>
      <c r="C177" s="9"/>
      <c r="D177" s="9"/>
      <c r="E177" s="9"/>
      <c r="F177" s="9"/>
      <c r="G177" s="9"/>
    </row>
    <row r="178" spans="1:7" x14ac:dyDescent="0.3">
      <c r="A178" s="9"/>
      <c r="B178" s="9"/>
      <c r="C178" s="9"/>
      <c r="D178" s="9"/>
      <c r="E178" s="9"/>
      <c r="F178" s="9"/>
      <c r="G178" s="9"/>
    </row>
    <row r="179" spans="1:7" x14ac:dyDescent="0.3">
      <c r="A179" s="9"/>
      <c r="B179" s="9"/>
      <c r="C179" s="9"/>
      <c r="D179" s="9"/>
      <c r="E179" s="9"/>
      <c r="F179" s="9"/>
      <c r="G179" s="9"/>
    </row>
    <row r="180" spans="1:7" x14ac:dyDescent="0.3">
      <c r="A180" s="9"/>
      <c r="B180" s="9"/>
      <c r="C180" s="9"/>
      <c r="D180" s="9"/>
      <c r="E180" s="9"/>
      <c r="F180" s="9"/>
      <c r="G180" s="9"/>
    </row>
    <row r="181" spans="1:7" x14ac:dyDescent="0.3">
      <c r="A181" s="9"/>
      <c r="B181" s="9"/>
      <c r="C181" s="9"/>
      <c r="D181" s="9"/>
      <c r="E181" s="9"/>
      <c r="F181" s="9"/>
      <c r="G181" s="9"/>
    </row>
    <row r="182" spans="1:7" x14ac:dyDescent="0.3">
      <c r="A182" s="9"/>
      <c r="B182" s="9"/>
      <c r="C182" s="9"/>
      <c r="D182" s="9"/>
      <c r="E182" s="9"/>
      <c r="F182" s="9"/>
      <c r="G182" s="9"/>
    </row>
    <row r="183" spans="1:7" x14ac:dyDescent="0.3">
      <c r="A183" s="9"/>
      <c r="B183" s="9"/>
      <c r="C183" s="9"/>
      <c r="D183" s="9"/>
      <c r="E183" s="9"/>
      <c r="F183" s="9"/>
      <c r="G183" s="9"/>
    </row>
    <row r="184" spans="1:7" x14ac:dyDescent="0.3">
      <c r="A184" s="9"/>
      <c r="B184" s="9"/>
      <c r="C184" s="9"/>
      <c r="D184" s="9"/>
      <c r="E184" s="9"/>
      <c r="F184" s="9"/>
      <c r="G184" s="9"/>
    </row>
    <row r="185" spans="1:7" x14ac:dyDescent="0.3">
      <c r="A185" s="9"/>
      <c r="B185" s="9"/>
      <c r="C185" s="9"/>
      <c r="D185" s="9"/>
      <c r="E185" s="9"/>
      <c r="F185" s="9"/>
      <c r="G185" s="9"/>
    </row>
    <row r="186" spans="1:7" x14ac:dyDescent="0.3">
      <c r="A186" s="9"/>
      <c r="B186" s="9"/>
      <c r="C186" s="9"/>
      <c r="D186" s="9"/>
      <c r="E186" s="9"/>
      <c r="F186" s="9"/>
      <c r="G186" s="9"/>
    </row>
    <row r="187" spans="1:7" x14ac:dyDescent="0.3">
      <c r="A187" s="9"/>
      <c r="B187" s="9"/>
      <c r="C187" s="9"/>
      <c r="D187" s="9"/>
      <c r="E187" s="9"/>
      <c r="F187" s="9"/>
      <c r="G187" s="9"/>
    </row>
    <row r="188" spans="1:7" x14ac:dyDescent="0.3">
      <c r="A188" s="9"/>
      <c r="B188" s="9"/>
      <c r="C188" s="9"/>
      <c r="D188" s="9"/>
      <c r="E188" s="9"/>
      <c r="F188" s="9"/>
      <c r="G188" s="9"/>
    </row>
    <row r="189" spans="1:7" x14ac:dyDescent="0.3">
      <c r="A189" s="9"/>
      <c r="B189" s="9"/>
      <c r="C189" s="9"/>
      <c r="D189" s="9"/>
      <c r="E189" s="9"/>
      <c r="F189" s="9"/>
      <c r="G189" s="9"/>
    </row>
    <row r="190" spans="1:7" x14ac:dyDescent="0.3">
      <c r="A190" s="9"/>
      <c r="B190" s="9"/>
      <c r="C190" s="9"/>
      <c r="D190" s="9"/>
      <c r="E190" s="9"/>
      <c r="F190" s="9"/>
      <c r="G190" s="9"/>
    </row>
    <row r="191" spans="1:7" x14ac:dyDescent="0.3">
      <c r="A191" s="9"/>
      <c r="B191" s="9"/>
      <c r="C191" s="9"/>
      <c r="D191" s="9"/>
      <c r="E191" s="9"/>
      <c r="F191" s="9"/>
      <c r="G191" s="9"/>
    </row>
    <row r="192" spans="1:7" x14ac:dyDescent="0.3">
      <c r="A192" s="9"/>
      <c r="B192" s="9"/>
      <c r="C192" s="9"/>
      <c r="D192" s="9"/>
      <c r="E192" s="9"/>
      <c r="F192" s="9"/>
      <c r="G192" s="9"/>
    </row>
    <row r="193" spans="1:7" x14ac:dyDescent="0.3">
      <c r="A193" s="9"/>
      <c r="B193" s="9"/>
      <c r="C193" s="9"/>
      <c r="D193" s="9"/>
      <c r="E193" s="9"/>
      <c r="F193" s="9"/>
      <c r="G193" s="9"/>
    </row>
    <row r="194" spans="1:7" x14ac:dyDescent="0.3">
      <c r="A194" s="9"/>
      <c r="B194" s="9"/>
      <c r="C194" s="9"/>
      <c r="D194" s="9"/>
      <c r="E194" s="9"/>
      <c r="F194" s="9"/>
      <c r="G194" s="9"/>
    </row>
    <row r="195" spans="1:7" x14ac:dyDescent="0.3">
      <c r="A195" s="9"/>
      <c r="B195" s="9"/>
      <c r="C195" s="9"/>
      <c r="D195" s="9"/>
      <c r="E195" s="9"/>
      <c r="F195" s="9"/>
      <c r="G195" s="9"/>
    </row>
    <row r="196" spans="1:7" x14ac:dyDescent="0.3">
      <c r="A196" s="9"/>
      <c r="B196" s="9"/>
      <c r="C196" s="9"/>
      <c r="D196" s="9"/>
      <c r="E196" s="9"/>
      <c r="F196" s="9"/>
      <c r="G196" s="9"/>
    </row>
    <row r="197" spans="1:7" x14ac:dyDescent="0.3">
      <c r="A197" s="9"/>
      <c r="B197" s="9"/>
      <c r="C197" s="9"/>
      <c r="D197" s="9"/>
      <c r="E197" s="9"/>
      <c r="F197" s="9"/>
      <c r="G197" s="9"/>
    </row>
    <row r="198" spans="1:7" x14ac:dyDescent="0.3">
      <c r="A198" s="9"/>
      <c r="B198" s="9"/>
      <c r="C198" s="9"/>
      <c r="D198" s="9"/>
      <c r="E198" s="9"/>
      <c r="F198" s="9"/>
      <c r="G198" s="9"/>
    </row>
    <row r="199" spans="1:7" x14ac:dyDescent="0.3">
      <c r="A199" s="9"/>
      <c r="B199" s="9"/>
      <c r="C199" s="9"/>
      <c r="D199" s="9"/>
      <c r="E199" s="9"/>
      <c r="F199" s="9"/>
      <c r="G199" s="9"/>
    </row>
    <row r="200" spans="1:7" x14ac:dyDescent="0.3">
      <c r="A200" s="9"/>
      <c r="B200" s="9"/>
      <c r="C200" s="9"/>
      <c r="D200" s="9"/>
      <c r="E200" s="9"/>
      <c r="F200" s="9"/>
      <c r="G200" s="9"/>
    </row>
    <row r="201" spans="1:7" x14ac:dyDescent="0.3">
      <c r="A201" s="9"/>
      <c r="B201" s="9"/>
      <c r="C201" s="9"/>
      <c r="D201" s="9"/>
      <c r="E201" s="9"/>
      <c r="F201" s="9"/>
      <c r="G201" s="9"/>
    </row>
    <row r="202" spans="1:7" x14ac:dyDescent="0.3">
      <c r="A202" s="9"/>
      <c r="B202" s="9"/>
      <c r="C202" s="9"/>
      <c r="D202" s="9"/>
      <c r="E202" s="9"/>
      <c r="F202" s="9"/>
      <c r="G202" s="9"/>
    </row>
    <row r="203" spans="1:7" x14ac:dyDescent="0.3">
      <c r="A203" s="9"/>
      <c r="B203" s="9"/>
      <c r="C203" s="9"/>
      <c r="D203" s="9"/>
      <c r="E203" s="9"/>
      <c r="F203" s="9"/>
      <c r="G203" s="9"/>
    </row>
    <row r="204" spans="1:7" x14ac:dyDescent="0.3">
      <c r="A204" s="9"/>
      <c r="B204" s="9"/>
      <c r="C204" s="9"/>
      <c r="D204" s="9"/>
      <c r="E204" s="9"/>
      <c r="F204" s="9"/>
      <c r="G204" s="9"/>
    </row>
    <row r="205" spans="1:7" x14ac:dyDescent="0.3">
      <c r="A205" s="9"/>
      <c r="B205" s="9"/>
      <c r="C205" s="9"/>
      <c r="D205" s="9"/>
      <c r="E205" s="9"/>
      <c r="F205" s="9"/>
      <c r="G205" s="9"/>
    </row>
    <row r="206" spans="1:7" x14ac:dyDescent="0.3">
      <c r="A206" s="9"/>
      <c r="B206" s="9"/>
      <c r="C206" s="9"/>
      <c r="D206" s="9"/>
      <c r="E206" s="9"/>
      <c r="F206" s="9"/>
      <c r="G206" s="9"/>
    </row>
    <row r="207" spans="1:7" x14ac:dyDescent="0.3">
      <c r="A207" s="9"/>
      <c r="B207" s="9"/>
      <c r="C207" s="9"/>
      <c r="D207" s="9"/>
      <c r="E207" s="9"/>
      <c r="F207" s="9"/>
      <c r="G207" s="9"/>
    </row>
    <row r="208" spans="1:7" x14ac:dyDescent="0.3">
      <c r="A208" s="9"/>
      <c r="B208" s="9"/>
      <c r="C208" s="9"/>
      <c r="D208" s="9"/>
      <c r="E208" s="9"/>
      <c r="F208" s="9"/>
      <c r="G208" s="9"/>
    </row>
    <row r="209" spans="1:7" x14ac:dyDescent="0.3">
      <c r="A209" s="9"/>
      <c r="B209" s="9"/>
      <c r="C209" s="9"/>
      <c r="D209" s="9"/>
      <c r="E209" s="9"/>
      <c r="F209" s="9"/>
      <c r="G209" s="9"/>
    </row>
    <row r="210" spans="1:7" x14ac:dyDescent="0.3">
      <c r="A210" s="9"/>
      <c r="B210" s="9"/>
      <c r="C210" s="9"/>
      <c r="D210" s="9"/>
      <c r="E210" s="9"/>
      <c r="F210" s="9"/>
      <c r="G210" s="9"/>
    </row>
    <row r="211" spans="1:7" x14ac:dyDescent="0.3">
      <c r="A211" s="9"/>
      <c r="B211" s="9"/>
      <c r="C211" s="9"/>
      <c r="D211" s="9"/>
      <c r="E211" s="9"/>
      <c r="F211" s="9"/>
      <c r="G211" s="9"/>
    </row>
    <row r="212" spans="1:7" x14ac:dyDescent="0.3">
      <c r="A212" s="9"/>
      <c r="B212" s="9"/>
      <c r="C212" s="9"/>
      <c r="D212" s="9"/>
      <c r="E212" s="9"/>
      <c r="F212" s="9"/>
      <c r="G212" s="9"/>
    </row>
    <row r="213" spans="1:7" x14ac:dyDescent="0.3">
      <c r="A213" s="9"/>
      <c r="B213" s="9"/>
      <c r="C213" s="9"/>
      <c r="D213" s="9"/>
      <c r="E213" s="9"/>
      <c r="F213" s="9"/>
      <c r="G213" s="9"/>
    </row>
    <row r="214" spans="1:7" x14ac:dyDescent="0.3">
      <c r="A214" s="9"/>
      <c r="B214" s="9"/>
      <c r="C214" s="9"/>
      <c r="D214" s="9"/>
      <c r="E214" s="9"/>
      <c r="F214" s="9"/>
      <c r="G214" s="9"/>
    </row>
    <row r="215" spans="1:7" x14ac:dyDescent="0.3">
      <c r="A215" s="9"/>
      <c r="B215" s="9"/>
      <c r="C215" s="9"/>
      <c r="D215" s="9"/>
      <c r="E215" s="9"/>
      <c r="F215" s="9"/>
      <c r="G215" s="9"/>
    </row>
    <row r="216" spans="1:7" x14ac:dyDescent="0.3">
      <c r="A216" s="9"/>
      <c r="B216" s="9"/>
      <c r="C216" s="9"/>
      <c r="D216" s="9"/>
      <c r="E216" s="9"/>
      <c r="F216" s="9"/>
      <c r="G216" s="9"/>
    </row>
    <row r="217" spans="1:7" x14ac:dyDescent="0.3">
      <c r="A217" s="9"/>
      <c r="B217" s="9"/>
      <c r="C217" s="9"/>
      <c r="D217" s="9"/>
      <c r="E217" s="9"/>
      <c r="F217" s="9"/>
      <c r="G217" s="9"/>
    </row>
    <row r="218" spans="1:7" x14ac:dyDescent="0.3">
      <c r="A218" s="9"/>
      <c r="B218" s="9"/>
      <c r="C218" s="9"/>
      <c r="D218" s="9"/>
      <c r="E218" s="9"/>
      <c r="F218" s="9"/>
      <c r="G218" s="9"/>
    </row>
    <row r="219" spans="1:7" x14ac:dyDescent="0.3">
      <c r="A219" s="9"/>
      <c r="B219" s="9"/>
      <c r="C219" s="9"/>
      <c r="D219" s="9"/>
      <c r="E219" s="9"/>
      <c r="F219" s="9"/>
      <c r="G219" s="9"/>
    </row>
    <row r="220" spans="1:7" x14ac:dyDescent="0.3">
      <c r="A220" s="9"/>
      <c r="B220" s="9"/>
      <c r="C220" s="9"/>
      <c r="D220" s="9"/>
      <c r="E220" s="9"/>
      <c r="F220" s="9"/>
      <c r="G220" s="9"/>
    </row>
    <row r="221" spans="1:7" x14ac:dyDescent="0.3">
      <c r="A221" s="9"/>
      <c r="B221" s="9"/>
      <c r="C221" s="9"/>
      <c r="D221" s="9"/>
      <c r="E221" s="9"/>
      <c r="F221" s="9"/>
      <c r="G221" s="9"/>
    </row>
    <row r="222" spans="1:7" x14ac:dyDescent="0.3">
      <c r="A222" s="9"/>
      <c r="B222" s="9"/>
      <c r="C222" s="9"/>
      <c r="D222" s="9"/>
      <c r="E222" s="9"/>
      <c r="F222" s="9"/>
      <c r="G222" s="9"/>
    </row>
    <row r="223" spans="1:7" x14ac:dyDescent="0.3">
      <c r="A223" s="9"/>
      <c r="B223" s="9"/>
      <c r="C223" s="9"/>
      <c r="D223" s="9"/>
      <c r="E223" s="9"/>
      <c r="F223" s="9"/>
      <c r="G223" s="9"/>
    </row>
    <row r="224" spans="1:7" x14ac:dyDescent="0.3">
      <c r="A224" s="9"/>
      <c r="B224" s="9"/>
      <c r="C224" s="9"/>
      <c r="D224" s="9"/>
      <c r="E224" s="9"/>
      <c r="F224" s="9"/>
      <c r="G224" s="9"/>
    </row>
    <row r="225" spans="1:7" x14ac:dyDescent="0.3">
      <c r="A225" s="9"/>
      <c r="B225" s="9"/>
      <c r="C225" s="9"/>
      <c r="D225" s="9"/>
      <c r="E225" s="9"/>
      <c r="F225" s="9"/>
      <c r="G225" s="9"/>
    </row>
    <row r="226" spans="1:7" x14ac:dyDescent="0.3">
      <c r="A226" s="9"/>
      <c r="B226" s="9"/>
      <c r="C226" s="9"/>
      <c r="D226" s="9"/>
      <c r="E226" s="9"/>
      <c r="F226" s="9"/>
      <c r="G226" s="9"/>
    </row>
    <row r="227" spans="1:7" x14ac:dyDescent="0.3">
      <c r="A227" s="9"/>
      <c r="B227" s="9"/>
      <c r="C227" s="9"/>
      <c r="D227" s="9"/>
      <c r="E227" s="9"/>
      <c r="F227" s="9"/>
      <c r="G227" s="9"/>
    </row>
    <row r="228" spans="1:7" x14ac:dyDescent="0.3">
      <c r="A228" s="9"/>
      <c r="B228" s="9"/>
      <c r="C228" s="9"/>
      <c r="D228" s="9"/>
      <c r="E228" s="9"/>
      <c r="F228" s="9"/>
      <c r="G228" s="9"/>
    </row>
    <row r="229" spans="1:7" x14ac:dyDescent="0.3">
      <c r="A229" s="9"/>
      <c r="B229" s="9"/>
      <c r="C229" s="9"/>
      <c r="D229" s="9"/>
      <c r="E229" s="9"/>
      <c r="F229" s="9"/>
      <c r="G229" s="9"/>
    </row>
    <row r="230" spans="1:7" x14ac:dyDescent="0.3">
      <c r="A230" s="9"/>
      <c r="B230" s="9"/>
      <c r="C230" s="9"/>
      <c r="D230" s="9"/>
      <c r="E230" s="9"/>
      <c r="F230" s="9"/>
      <c r="G230" s="9"/>
    </row>
    <row r="231" spans="1:7" x14ac:dyDescent="0.3">
      <c r="A231" s="9"/>
      <c r="B231" s="9"/>
      <c r="C231" s="9"/>
      <c r="D231" s="9"/>
      <c r="E231" s="9"/>
      <c r="F231" s="9"/>
      <c r="G231" s="9"/>
    </row>
    <row r="232" spans="1:7" x14ac:dyDescent="0.3">
      <c r="A232" s="9"/>
      <c r="B232" s="9"/>
      <c r="C232" s="9"/>
      <c r="D232" s="9"/>
      <c r="E232" s="9"/>
      <c r="F232" s="9"/>
      <c r="G232" s="9"/>
    </row>
    <row r="233" spans="1:7" x14ac:dyDescent="0.3">
      <c r="A233" s="9"/>
      <c r="B233" s="9"/>
      <c r="C233" s="9"/>
      <c r="D233" s="9"/>
      <c r="E233" s="9"/>
      <c r="F233" s="9"/>
      <c r="G233" s="9"/>
    </row>
    <row r="234" spans="1:7" x14ac:dyDescent="0.3">
      <c r="A234" s="9"/>
      <c r="B234" s="9"/>
      <c r="C234" s="9"/>
      <c r="D234" s="9"/>
      <c r="E234" s="9"/>
      <c r="F234" s="9"/>
      <c r="G234" s="9"/>
    </row>
    <row r="235" spans="1:7" x14ac:dyDescent="0.3">
      <c r="A235" s="9"/>
      <c r="B235" s="9"/>
      <c r="C235" s="9"/>
      <c r="D235" s="9"/>
      <c r="E235" s="9"/>
      <c r="F235" s="9"/>
      <c r="G235" s="9"/>
    </row>
    <row r="236" spans="1:7" x14ac:dyDescent="0.3">
      <c r="A236" s="9"/>
      <c r="B236" s="9"/>
      <c r="C236" s="9"/>
      <c r="D236" s="9"/>
      <c r="E236" s="9"/>
      <c r="F236" s="9"/>
      <c r="G236" s="9"/>
    </row>
    <row r="237" spans="1:7" x14ac:dyDescent="0.3">
      <c r="A237" s="9"/>
      <c r="B237" s="9"/>
      <c r="C237" s="9"/>
      <c r="D237" s="9"/>
      <c r="E237" s="9"/>
      <c r="F237" s="9"/>
      <c r="G237" s="9"/>
    </row>
    <row r="238" spans="1:7" x14ac:dyDescent="0.3">
      <c r="A238" s="9"/>
      <c r="B238" s="9"/>
      <c r="C238" s="9"/>
      <c r="D238" s="9"/>
      <c r="E238" s="9"/>
      <c r="F238" s="9"/>
      <c r="G238" s="9"/>
    </row>
    <row r="239" spans="1:7" x14ac:dyDescent="0.3">
      <c r="A239" s="9"/>
      <c r="B239" s="9"/>
      <c r="C239" s="9"/>
      <c r="D239" s="9"/>
      <c r="E239" s="9"/>
      <c r="F239" s="9"/>
      <c r="G239" s="9"/>
    </row>
    <row r="240" spans="1:7" x14ac:dyDescent="0.3">
      <c r="A240" s="9"/>
      <c r="B240" s="9"/>
      <c r="C240" s="9"/>
      <c r="D240" s="9"/>
      <c r="E240" s="9"/>
      <c r="F240" s="9"/>
      <c r="G240" s="9"/>
    </row>
    <row r="241" spans="1:7" x14ac:dyDescent="0.3">
      <c r="A241" s="9"/>
      <c r="B241" s="9"/>
      <c r="C241" s="9"/>
      <c r="D241" s="9"/>
      <c r="E241" s="9"/>
      <c r="F241" s="9"/>
      <c r="G241" s="9"/>
    </row>
    <row r="242" spans="1:7" x14ac:dyDescent="0.3">
      <c r="A242" s="9"/>
      <c r="B242" s="9"/>
      <c r="C242" s="9"/>
      <c r="D242" s="9"/>
      <c r="E242" s="9"/>
      <c r="F242" s="9"/>
      <c r="G242" s="9"/>
    </row>
    <row r="243" spans="1:7" x14ac:dyDescent="0.3">
      <c r="A243" s="9"/>
      <c r="B243" s="9"/>
      <c r="C243" s="9"/>
      <c r="D243" s="9"/>
      <c r="E243" s="9"/>
      <c r="F243" s="9"/>
      <c r="G243" s="9"/>
    </row>
    <row r="244" spans="1:7" x14ac:dyDescent="0.3">
      <c r="A244" s="9"/>
      <c r="B244" s="9"/>
      <c r="C244" s="9"/>
      <c r="D244" s="9"/>
      <c r="E244" s="9"/>
      <c r="F244" s="9"/>
      <c r="G244" s="9"/>
    </row>
    <row r="245" spans="1:7" x14ac:dyDescent="0.3">
      <c r="A245" s="9"/>
      <c r="B245" s="9"/>
      <c r="C245" s="9"/>
      <c r="D245" s="9"/>
      <c r="E245" s="9"/>
      <c r="F245" s="9"/>
      <c r="G245" s="9"/>
    </row>
    <row r="246" spans="1:7" x14ac:dyDescent="0.3">
      <c r="A246" s="9"/>
      <c r="B246" s="9"/>
      <c r="C246" s="9"/>
      <c r="D246" s="9"/>
      <c r="E246" s="9"/>
      <c r="F246" s="9"/>
      <c r="G246" s="9"/>
    </row>
    <row r="247" spans="1:7" x14ac:dyDescent="0.3">
      <c r="A247" s="9"/>
      <c r="B247" s="9"/>
      <c r="C247" s="9"/>
      <c r="D247" s="9"/>
      <c r="E247" s="9"/>
      <c r="F247" s="9"/>
      <c r="G247" s="9"/>
    </row>
    <row r="248" spans="1:7" x14ac:dyDescent="0.3">
      <c r="A248" s="9"/>
      <c r="B248" s="9"/>
      <c r="C248" s="9"/>
      <c r="D248" s="9"/>
      <c r="E248" s="9"/>
      <c r="F248" s="9"/>
      <c r="G248" s="9"/>
    </row>
    <row r="249" spans="1:7" x14ac:dyDescent="0.3">
      <c r="A249" s="9"/>
      <c r="B249" s="9"/>
      <c r="C249" s="9"/>
      <c r="D249" s="9"/>
      <c r="E249" s="9"/>
      <c r="F249" s="9"/>
      <c r="G249" s="9"/>
    </row>
    <row r="250" spans="1:7" x14ac:dyDescent="0.3">
      <c r="A250" s="9"/>
      <c r="B250" s="9"/>
      <c r="C250" s="9"/>
      <c r="D250" s="9"/>
      <c r="E250" s="9"/>
      <c r="F250" s="9"/>
      <c r="G250" s="9"/>
    </row>
    <row r="251" spans="1:7" x14ac:dyDescent="0.3">
      <c r="A251" s="9"/>
      <c r="B251" s="9"/>
      <c r="C251" s="9"/>
      <c r="D251" s="9"/>
      <c r="E251" s="9"/>
      <c r="F251" s="9"/>
      <c r="G251" s="9"/>
    </row>
    <row r="252" spans="1:7" x14ac:dyDescent="0.3">
      <c r="A252" s="9"/>
      <c r="B252" s="9"/>
      <c r="C252" s="9"/>
      <c r="D252" s="9"/>
      <c r="E252" s="9"/>
      <c r="F252" s="9"/>
      <c r="G252" s="9"/>
    </row>
    <row r="253" spans="1:7" x14ac:dyDescent="0.3">
      <c r="A253" s="9"/>
      <c r="B253" s="9"/>
      <c r="C253" s="9"/>
      <c r="D253" s="9"/>
      <c r="E253" s="9"/>
      <c r="F253" s="9"/>
      <c r="G253" s="9"/>
    </row>
    <row r="254" spans="1:7" x14ac:dyDescent="0.3">
      <c r="A254" s="9"/>
      <c r="B254" s="9"/>
      <c r="C254" s="9"/>
      <c r="D254" s="9"/>
      <c r="E254" s="9"/>
      <c r="F254" s="9"/>
      <c r="G254" s="9"/>
    </row>
    <row r="255" spans="1:7" x14ac:dyDescent="0.3">
      <c r="A255" s="9"/>
      <c r="B255" s="9"/>
      <c r="C255" s="9"/>
      <c r="D255" s="9"/>
      <c r="E255" s="9"/>
      <c r="F255" s="9"/>
      <c r="G255" s="9"/>
    </row>
    <row r="256" spans="1:7" x14ac:dyDescent="0.3">
      <c r="A256" s="9"/>
      <c r="B256" s="9"/>
      <c r="C256" s="9"/>
      <c r="D256" s="9"/>
      <c r="E256" s="9"/>
      <c r="F256" s="9"/>
      <c r="G256" s="9"/>
    </row>
    <row r="257" spans="1:7" x14ac:dyDescent="0.3">
      <c r="A257" s="9"/>
      <c r="B257" s="9"/>
      <c r="C257" s="9"/>
      <c r="D257" s="9"/>
      <c r="E257" s="9"/>
      <c r="F257" s="9"/>
      <c r="G257" s="9"/>
    </row>
    <row r="258" spans="1:7" x14ac:dyDescent="0.3">
      <c r="A258" s="9"/>
      <c r="B258" s="9"/>
      <c r="C258" s="9"/>
      <c r="D258" s="9"/>
      <c r="E258" s="9"/>
      <c r="F258" s="9"/>
      <c r="G258" s="9"/>
    </row>
    <row r="259" spans="1:7" x14ac:dyDescent="0.3">
      <c r="A259" s="9"/>
      <c r="B259" s="9"/>
      <c r="C259" s="9"/>
      <c r="D259" s="9"/>
      <c r="E259" s="9"/>
      <c r="F259" s="9"/>
      <c r="G259" s="9"/>
    </row>
    <row r="260" spans="1:7" x14ac:dyDescent="0.3">
      <c r="A260" s="9"/>
      <c r="B260" s="9"/>
      <c r="C260" s="9"/>
      <c r="D260" s="9"/>
      <c r="E260" s="9"/>
      <c r="F260" s="9"/>
      <c r="G260" s="9"/>
    </row>
    <row r="261" spans="1:7" x14ac:dyDescent="0.3">
      <c r="A261" s="9"/>
      <c r="B261" s="9"/>
      <c r="C261" s="9"/>
      <c r="D261" s="9"/>
      <c r="E261" s="9"/>
      <c r="F261" s="9"/>
      <c r="G261" s="9"/>
    </row>
    <row r="262" spans="1:7" x14ac:dyDescent="0.3">
      <c r="A262" s="9"/>
      <c r="B262" s="9"/>
      <c r="C262" s="9"/>
      <c r="D262" s="9"/>
      <c r="E262" s="9"/>
      <c r="F262" s="9"/>
      <c r="G262" s="9"/>
    </row>
    <row r="263" spans="1:7" x14ac:dyDescent="0.3">
      <c r="A263" s="9"/>
      <c r="B263" s="9"/>
      <c r="C263" s="9"/>
      <c r="D263" s="9"/>
      <c r="E263" s="9"/>
      <c r="F263" s="9"/>
      <c r="G263" s="9"/>
    </row>
    <row r="264" spans="1:7" x14ac:dyDescent="0.3">
      <c r="A264" s="9"/>
      <c r="B264" s="9"/>
      <c r="C264" s="9"/>
      <c r="D264" s="9"/>
      <c r="E264" s="9"/>
      <c r="F264" s="9"/>
      <c r="G264" s="9"/>
    </row>
    <row r="265" spans="1:7" x14ac:dyDescent="0.3">
      <c r="A265" s="9"/>
      <c r="B265" s="9"/>
      <c r="C265" s="9"/>
      <c r="D265" s="9"/>
      <c r="E265" s="9"/>
      <c r="F265" s="9"/>
      <c r="G265" s="9"/>
    </row>
    <row r="266" spans="1:7" x14ac:dyDescent="0.3">
      <c r="A266" s="9"/>
      <c r="B266" s="9"/>
      <c r="C266" s="9"/>
      <c r="D266" s="9"/>
      <c r="E266" s="9"/>
      <c r="F266" s="9"/>
      <c r="G266" s="9"/>
    </row>
    <row r="267" spans="1:7" x14ac:dyDescent="0.3">
      <c r="A267" s="9"/>
      <c r="B267" s="9"/>
      <c r="C267" s="9"/>
      <c r="D267" s="9"/>
      <c r="E267" s="9"/>
      <c r="F267" s="9"/>
      <c r="G267" s="9"/>
    </row>
    <row r="268" spans="1:7" x14ac:dyDescent="0.3">
      <c r="A268" s="9"/>
      <c r="B268" s="9"/>
      <c r="C268" s="9"/>
      <c r="D268" s="9"/>
      <c r="E268" s="9"/>
      <c r="F268" s="9"/>
      <c r="G268" s="9"/>
    </row>
    <row r="269" spans="1:7" x14ac:dyDescent="0.3">
      <c r="A269" s="9"/>
      <c r="B269" s="9"/>
      <c r="C269" s="9"/>
      <c r="D269" s="9"/>
      <c r="E269" s="9"/>
      <c r="F269" s="9"/>
      <c r="G269" s="9"/>
    </row>
    <row r="270" spans="1:7" x14ac:dyDescent="0.3">
      <c r="A270" s="9"/>
      <c r="B270" s="9"/>
      <c r="C270" s="9"/>
      <c r="D270" s="9"/>
      <c r="E270" s="9"/>
      <c r="F270" s="9"/>
      <c r="G270" s="9"/>
    </row>
    <row r="271" spans="1:7" x14ac:dyDescent="0.3">
      <c r="A271" s="9"/>
      <c r="B271" s="9"/>
      <c r="C271" s="9"/>
      <c r="D271" s="9"/>
      <c r="E271" s="9"/>
      <c r="F271" s="9"/>
      <c r="G271" s="9"/>
    </row>
    <row r="272" spans="1:7" x14ac:dyDescent="0.3">
      <c r="A272" s="9"/>
      <c r="B272" s="9"/>
      <c r="C272" s="9"/>
      <c r="D272" s="9"/>
      <c r="E272" s="9"/>
      <c r="F272" s="9"/>
      <c r="G272" s="9"/>
    </row>
    <row r="273" spans="1:7" x14ac:dyDescent="0.3">
      <c r="A273" s="9"/>
      <c r="B273" s="9"/>
      <c r="C273" s="9"/>
      <c r="D273" s="9"/>
      <c r="E273" s="9"/>
      <c r="F273" s="9"/>
      <c r="G273" s="9"/>
    </row>
    <row r="274" spans="1:7" x14ac:dyDescent="0.3">
      <c r="A274" s="9"/>
      <c r="B274" s="9"/>
      <c r="C274" s="9"/>
      <c r="D274" s="9"/>
      <c r="E274" s="9"/>
      <c r="F274" s="9"/>
      <c r="G274" s="9"/>
    </row>
    <row r="275" spans="1:7" x14ac:dyDescent="0.3">
      <c r="A275" s="9"/>
      <c r="B275" s="9"/>
      <c r="C275" s="9"/>
      <c r="D275" s="9"/>
      <c r="E275" s="9"/>
      <c r="F275" s="9"/>
      <c r="G275" s="9"/>
    </row>
    <row r="276" spans="1:7" x14ac:dyDescent="0.3">
      <c r="A276" s="9"/>
      <c r="B276" s="9"/>
      <c r="C276" s="9"/>
      <c r="D276" s="9"/>
      <c r="E276" s="9"/>
      <c r="F276" s="9"/>
      <c r="G276" s="9"/>
    </row>
    <row r="277" spans="1:7" x14ac:dyDescent="0.3">
      <c r="A277" s="9"/>
      <c r="B277" s="9"/>
      <c r="C277" s="9"/>
      <c r="D277" s="9"/>
      <c r="E277" s="9"/>
      <c r="F277" s="9"/>
      <c r="G277" s="9"/>
    </row>
    <row r="278" spans="1:7" x14ac:dyDescent="0.3">
      <c r="A278" s="9"/>
      <c r="B278" s="9"/>
      <c r="C278" s="9"/>
      <c r="D278" s="9"/>
      <c r="E278" s="9"/>
      <c r="F278" s="9"/>
      <c r="G278" s="9"/>
    </row>
    <row r="279" spans="1:7" x14ac:dyDescent="0.3">
      <c r="A279" s="9"/>
      <c r="B279" s="9"/>
      <c r="C279" s="9"/>
      <c r="D279" s="9"/>
      <c r="E279" s="9"/>
      <c r="F279" s="9"/>
      <c r="G279" s="9"/>
    </row>
    <row r="280" spans="1:7" x14ac:dyDescent="0.3">
      <c r="A280" s="9"/>
      <c r="B280" s="9"/>
      <c r="C280" s="9"/>
      <c r="D280" s="9"/>
      <c r="E280" s="9"/>
      <c r="F280" s="9"/>
      <c r="G280" s="9"/>
    </row>
    <row r="281" spans="1:7" x14ac:dyDescent="0.3">
      <c r="A281" s="9"/>
      <c r="B281" s="9"/>
      <c r="C281" s="9"/>
      <c r="D281" s="9"/>
      <c r="E281" s="9"/>
      <c r="F281" s="9"/>
      <c r="G281" s="9"/>
    </row>
    <row r="282" spans="1:7" x14ac:dyDescent="0.3">
      <c r="A282" s="9"/>
      <c r="B282" s="9"/>
      <c r="C282" s="9"/>
      <c r="D282" s="9"/>
      <c r="E282" s="9"/>
      <c r="F282" s="9"/>
      <c r="G282" s="9"/>
    </row>
    <row r="283" spans="1:7" x14ac:dyDescent="0.3">
      <c r="A283" s="9"/>
      <c r="B283" s="9"/>
      <c r="C283" s="9"/>
      <c r="D283" s="9"/>
      <c r="E283" s="9"/>
      <c r="F283" s="9"/>
      <c r="G283" s="9"/>
    </row>
    <row r="284" spans="1:7" x14ac:dyDescent="0.3">
      <c r="A284" s="9"/>
      <c r="B284" s="9"/>
      <c r="C284" s="9"/>
      <c r="D284" s="9"/>
      <c r="E284" s="9"/>
      <c r="F284" s="9"/>
      <c r="G284" s="9"/>
    </row>
    <row r="285" spans="1:7" x14ac:dyDescent="0.3">
      <c r="A285" s="9"/>
      <c r="B285" s="9"/>
      <c r="C285" s="9"/>
      <c r="D285" s="9"/>
      <c r="E285" s="9"/>
      <c r="F285" s="9"/>
      <c r="G285" s="9"/>
    </row>
    <row r="286" spans="1:7" x14ac:dyDescent="0.3">
      <c r="A286" s="9"/>
      <c r="B286" s="9"/>
      <c r="C286" s="9"/>
      <c r="D286" s="9"/>
      <c r="E286" s="9"/>
      <c r="F286" s="9"/>
      <c r="G286" s="9"/>
    </row>
    <row r="287" spans="1:7" x14ac:dyDescent="0.3">
      <c r="A287" s="9"/>
      <c r="B287" s="9"/>
      <c r="C287" s="9"/>
      <c r="D287" s="9"/>
      <c r="E287" s="9"/>
      <c r="F287" s="9"/>
      <c r="G287" s="9"/>
    </row>
    <row r="288" spans="1:7" x14ac:dyDescent="0.3">
      <c r="A288" s="9"/>
      <c r="B288" s="9"/>
      <c r="C288" s="9"/>
      <c r="D288" s="9"/>
      <c r="E288" s="9"/>
      <c r="F288" s="9"/>
      <c r="G288" s="9"/>
    </row>
    <row r="289" spans="1:7" x14ac:dyDescent="0.3">
      <c r="A289" s="9"/>
      <c r="B289" s="9"/>
      <c r="C289" s="9"/>
      <c r="D289" s="9"/>
      <c r="E289" s="9"/>
      <c r="F289" s="9"/>
      <c r="G289" s="9"/>
    </row>
    <row r="290" spans="1:7" x14ac:dyDescent="0.3">
      <c r="A290" s="9"/>
      <c r="B290" s="9"/>
      <c r="C290" s="9"/>
      <c r="D290" s="9"/>
      <c r="E290" s="9"/>
      <c r="F290" s="9"/>
      <c r="G290" s="9"/>
    </row>
    <row r="291" spans="1:7" x14ac:dyDescent="0.3">
      <c r="A291" s="9"/>
      <c r="B291" s="9"/>
      <c r="C291" s="9"/>
      <c r="D291" s="9"/>
      <c r="E291" s="9"/>
      <c r="F291" s="9"/>
      <c r="G291" s="9"/>
    </row>
    <row r="292" spans="1:7" x14ac:dyDescent="0.3">
      <c r="A292" s="9"/>
      <c r="B292" s="9"/>
      <c r="C292" s="9"/>
      <c r="D292" s="9"/>
      <c r="E292" s="9"/>
      <c r="F292" s="9"/>
      <c r="G292" s="9"/>
    </row>
    <row r="293" spans="1:7" x14ac:dyDescent="0.3">
      <c r="A293" s="9"/>
      <c r="B293" s="9"/>
      <c r="C293" s="9"/>
      <c r="D293" s="9"/>
      <c r="E293" s="9"/>
      <c r="F293" s="9"/>
      <c r="G293" s="9"/>
    </row>
    <row r="294" spans="1:7" x14ac:dyDescent="0.3">
      <c r="A294" s="9"/>
      <c r="B294" s="9"/>
      <c r="C294" s="9"/>
      <c r="D294" s="9"/>
      <c r="E294" s="9"/>
      <c r="F294" s="9"/>
      <c r="G294" s="9"/>
    </row>
    <row r="295" spans="1:7" x14ac:dyDescent="0.3">
      <c r="A295" s="9"/>
      <c r="B295" s="9"/>
      <c r="C295" s="9"/>
      <c r="D295" s="9"/>
      <c r="E295" s="9"/>
      <c r="F295" s="9"/>
      <c r="G295" s="9"/>
    </row>
    <row r="296" spans="1:7" x14ac:dyDescent="0.3">
      <c r="A296" s="9"/>
      <c r="B296" s="9"/>
      <c r="C296" s="9"/>
      <c r="D296" s="9"/>
      <c r="E296" s="9"/>
      <c r="F296" s="9"/>
      <c r="G296" s="9"/>
    </row>
    <row r="297" spans="1:7" x14ac:dyDescent="0.3">
      <c r="A297" s="9"/>
      <c r="B297" s="9"/>
      <c r="C297" s="9"/>
      <c r="D297" s="9"/>
      <c r="E297" s="9"/>
      <c r="F297" s="9"/>
      <c r="G297" s="9"/>
    </row>
    <row r="298" spans="1:7" x14ac:dyDescent="0.3">
      <c r="A298" s="9"/>
      <c r="B298" s="9"/>
      <c r="C298" s="9"/>
      <c r="D298" s="9"/>
      <c r="E298" s="9"/>
      <c r="F298" s="9"/>
      <c r="G298" s="9"/>
    </row>
    <row r="299" spans="1:7" x14ac:dyDescent="0.3">
      <c r="A299" s="9"/>
      <c r="B299" s="9"/>
      <c r="C299" s="9"/>
      <c r="D299" s="9"/>
      <c r="E299" s="9"/>
      <c r="F299" s="9"/>
      <c r="G299" s="9"/>
    </row>
    <row r="300" spans="1:7" x14ac:dyDescent="0.3">
      <c r="A300" s="9"/>
      <c r="B300" s="9"/>
      <c r="C300" s="9"/>
      <c r="D300" s="9"/>
      <c r="E300" s="9"/>
      <c r="F300" s="9"/>
      <c r="G300" s="9"/>
    </row>
    <row r="301" spans="1:7" x14ac:dyDescent="0.3">
      <c r="A301" s="9"/>
      <c r="B301" s="9"/>
      <c r="C301" s="9"/>
      <c r="D301" s="9"/>
      <c r="E301" s="9"/>
      <c r="F301" s="9"/>
      <c r="G301" s="9"/>
    </row>
    <row r="302" spans="1:7" x14ac:dyDescent="0.3">
      <c r="A302" s="9"/>
      <c r="B302" s="9"/>
      <c r="C302" s="9"/>
      <c r="D302" s="9"/>
      <c r="E302" s="9"/>
      <c r="F302" s="9"/>
      <c r="G302" s="9"/>
    </row>
    <row r="303" spans="1:7" x14ac:dyDescent="0.3">
      <c r="A303" s="9"/>
      <c r="B303" s="9"/>
      <c r="C303" s="9"/>
      <c r="D303" s="9"/>
      <c r="E303" s="9"/>
      <c r="F303" s="9"/>
      <c r="G303" s="9"/>
    </row>
    <row r="304" spans="1:7" x14ac:dyDescent="0.3">
      <c r="A304" s="9"/>
      <c r="B304" s="9"/>
      <c r="C304" s="9"/>
      <c r="D304" s="9"/>
      <c r="E304" s="9"/>
      <c r="F304" s="9"/>
      <c r="G304" s="9"/>
    </row>
    <row r="305" spans="1:7" x14ac:dyDescent="0.3">
      <c r="A305" s="9"/>
      <c r="B305" s="9"/>
      <c r="C305" s="9"/>
      <c r="D305" s="9"/>
      <c r="E305" s="9"/>
      <c r="F305" s="9"/>
      <c r="G305" s="9"/>
    </row>
  </sheetData>
  <autoFilter ref="A4:G305" xr:uid="{00000000-0009-0000-0000-000004000000}"/>
  <mergeCells count="2">
    <mergeCell ref="A1:G1"/>
    <mergeCell ref="A2:G2"/>
  </mergeCell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Pick from list" error="Choose a value from the 'Departments' list. For a new operation use the 'New Operations' sheet." xr:uid="{00000000-0002-0000-0400-000000000000}">
          <x14:formula1>
            <xm:f>Lists!$B$2:$B$15</xm:f>
          </x14:formula1>
          <x14:formula2>
            <xm:f>0</xm:f>
          </x14:formula2>
          <xm:sqref>D5:D305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06"/>
  <sheetViews>
    <sheetView zoomScale="90" zoomScaleNormal="90" workbookViewId="0">
      <pane xSplit="2" ySplit="4" topLeftCell="C5" activePane="bottomRight" state="frozen"/>
      <selection pane="topRight" activeCell="C1" sqref="C1"/>
      <selection pane="bottomLeft" activeCell="A5" sqref="A5"/>
      <selection pane="bottomRight" activeCell="A13" sqref="A13:C32"/>
    </sheetView>
  </sheetViews>
  <sheetFormatPr defaultColWidth="8.6640625" defaultRowHeight="14.4" x14ac:dyDescent="0.3"/>
  <cols>
    <col min="1" max="1" width="10.88671875" bestFit="1" customWidth="1"/>
    <col min="2" max="2" width="27.77734375" customWidth="1"/>
    <col min="3" max="3" width="5.77734375" bestFit="1" customWidth="1"/>
    <col min="4" max="4" width="28.6640625" customWidth="1"/>
    <col min="5" max="5" width="48.109375" customWidth="1"/>
    <col min="6" max="6" width="24.6640625" bestFit="1" customWidth="1"/>
    <col min="7" max="8" width="8.5546875" bestFit="1" customWidth="1"/>
    <col min="9" max="9" width="11.6640625" bestFit="1" customWidth="1"/>
    <col min="10" max="10" width="12.5546875" bestFit="1" customWidth="1"/>
    <col min="11" max="11" width="7.6640625" bestFit="1" customWidth="1"/>
    <col min="12" max="12" width="8.5546875" bestFit="1" customWidth="1"/>
    <col min="13" max="14" width="38.88671875" customWidth="1"/>
  </cols>
  <sheetData>
    <row r="1" spans="1:14" x14ac:dyDescent="0.3">
      <c r="A1" s="56" t="s">
        <v>1059</v>
      </c>
      <c r="B1" s="56"/>
      <c r="C1" s="56"/>
      <c r="D1" s="56"/>
      <c r="E1" s="56"/>
      <c r="F1" s="56"/>
      <c r="G1" s="56"/>
      <c r="H1" s="56"/>
      <c r="I1" s="56"/>
      <c r="J1" s="56"/>
      <c r="K1" s="56"/>
      <c r="L1" s="56"/>
      <c r="M1" s="56"/>
      <c r="N1" s="56"/>
    </row>
    <row r="2" spans="1:14" x14ac:dyDescent="0.3">
      <c r="A2" s="57" t="s">
        <v>1060</v>
      </c>
      <c r="B2" s="57"/>
      <c r="C2" s="57"/>
      <c r="D2" s="57"/>
      <c r="E2" s="57"/>
      <c r="F2" s="57"/>
      <c r="G2" s="57"/>
      <c r="H2" s="57"/>
      <c r="I2" s="57"/>
      <c r="J2" s="57"/>
      <c r="K2" s="57"/>
      <c r="L2" s="57"/>
      <c r="M2" s="57"/>
      <c r="N2" s="57"/>
    </row>
    <row r="3" spans="1:14" x14ac:dyDescent="0.3">
      <c r="A3" s="55"/>
      <c r="B3" s="55"/>
      <c r="C3" s="55"/>
      <c r="D3" s="55"/>
      <c r="E3" s="55"/>
      <c r="F3" s="55"/>
      <c r="G3" s="55"/>
      <c r="H3" s="55"/>
      <c r="I3" s="55"/>
      <c r="J3" s="55"/>
      <c r="K3" s="55"/>
      <c r="L3" s="55"/>
      <c r="M3" s="55"/>
      <c r="N3" s="55"/>
    </row>
    <row r="4" spans="1:14" ht="41.4" x14ac:dyDescent="0.3">
      <c r="A4" s="58" t="s">
        <v>53</v>
      </c>
      <c r="B4" s="58" t="s">
        <v>179</v>
      </c>
      <c r="C4" s="58" t="s">
        <v>180</v>
      </c>
      <c r="D4" s="58" t="s">
        <v>181</v>
      </c>
      <c r="E4" s="58" t="s">
        <v>182</v>
      </c>
      <c r="F4" s="58" t="s">
        <v>111</v>
      </c>
      <c r="G4" s="58" t="s">
        <v>183</v>
      </c>
      <c r="H4" s="58" t="s">
        <v>184</v>
      </c>
      <c r="I4" s="58" t="s">
        <v>185</v>
      </c>
      <c r="J4" s="58" t="s">
        <v>186</v>
      </c>
      <c r="K4" s="58" t="s">
        <v>187</v>
      </c>
      <c r="L4" s="58" t="s">
        <v>188</v>
      </c>
      <c r="M4" s="58" t="s">
        <v>189</v>
      </c>
      <c r="N4" s="58" t="s">
        <v>69</v>
      </c>
    </row>
    <row r="5" spans="1:14" ht="27.6" x14ac:dyDescent="0.3">
      <c r="A5" s="60" t="s">
        <v>1061</v>
      </c>
      <c r="B5" s="63" t="s">
        <v>1062</v>
      </c>
      <c r="C5" s="61">
        <v>1</v>
      </c>
      <c r="D5" s="63" t="s">
        <v>190</v>
      </c>
      <c r="E5" s="63" t="s">
        <v>1063</v>
      </c>
      <c r="F5" s="63" t="s">
        <v>191</v>
      </c>
      <c r="G5" s="61">
        <v>1</v>
      </c>
      <c r="H5" s="61">
        <v>2</v>
      </c>
      <c r="I5" s="59" t="s">
        <v>192</v>
      </c>
      <c r="J5" s="59" t="s">
        <v>193</v>
      </c>
      <c r="K5" s="62">
        <v>0</v>
      </c>
      <c r="L5" s="59" t="s">
        <v>80</v>
      </c>
      <c r="M5" s="63"/>
      <c r="N5" s="63" t="s">
        <v>1064</v>
      </c>
    </row>
    <row r="6" spans="1:14" ht="27.6" x14ac:dyDescent="0.3">
      <c r="A6" s="60" t="s">
        <v>1061</v>
      </c>
      <c r="B6" s="63" t="s">
        <v>1062</v>
      </c>
      <c r="C6" s="61">
        <v>2</v>
      </c>
      <c r="D6" s="63" t="s">
        <v>200</v>
      </c>
      <c r="E6" s="63" t="s">
        <v>1065</v>
      </c>
      <c r="F6" s="63" t="s">
        <v>191</v>
      </c>
      <c r="G6" s="61">
        <v>2</v>
      </c>
      <c r="H6" s="61">
        <v>3</v>
      </c>
      <c r="I6" s="59">
        <v>1</v>
      </c>
      <c r="J6" s="59" t="s">
        <v>193</v>
      </c>
      <c r="K6" s="62">
        <v>0</v>
      </c>
      <c r="L6" s="59" t="s">
        <v>80</v>
      </c>
      <c r="M6" s="63"/>
      <c r="N6" s="63" t="s">
        <v>1066</v>
      </c>
    </row>
    <row r="7" spans="1:14" ht="27.6" x14ac:dyDescent="0.3">
      <c r="A7" s="60" t="s">
        <v>1061</v>
      </c>
      <c r="B7" s="63" t="s">
        <v>1062</v>
      </c>
      <c r="C7" s="61">
        <v>3</v>
      </c>
      <c r="D7" s="63" t="s">
        <v>1067</v>
      </c>
      <c r="E7" s="63" t="s">
        <v>1068</v>
      </c>
      <c r="F7" s="63" t="s">
        <v>204</v>
      </c>
      <c r="G7" s="61">
        <v>7</v>
      </c>
      <c r="H7" s="61">
        <v>15</v>
      </c>
      <c r="I7" s="59">
        <v>2</v>
      </c>
      <c r="J7" s="59" t="s">
        <v>193</v>
      </c>
      <c r="K7" s="62">
        <v>0</v>
      </c>
      <c r="L7" s="59" t="s">
        <v>80</v>
      </c>
      <c r="M7" s="63"/>
      <c r="N7" s="63" t="s">
        <v>1066</v>
      </c>
    </row>
    <row r="8" spans="1:14" ht="27.6" x14ac:dyDescent="0.3">
      <c r="A8" s="60" t="s">
        <v>1061</v>
      </c>
      <c r="B8" s="63" t="s">
        <v>1062</v>
      </c>
      <c r="C8" s="61">
        <v>4</v>
      </c>
      <c r="D8" s="63" t="s">
        <v>1069</v>
      </c>
      <c r="E8" s="63" t="s">
        <v>1070</v>
      </c>
      <c r="F8" s="63" t="s">
        <v>204</v>
      </c>
      <c r="G8" s="61">
        <v>7</v>
      </c>
      <c r="H8" s="61">
        <v>15</v>
      </c>
      <c r="I8" s="59">
        <v>3</v>
      </c>
      <c r="J8" s="59" t="s">
        <v>193</v>
      </c>
      <c r="K8" s="62">
        <v>0</v>
      </c>
      <c r="L8" s="59" t="s">
        <v>80</v>
      </c>
      <c r="M8" s="63"/>
      <c r="N8" s="63" t="s">
        <v>1066</v>
      </c>
    </row>
    <row r="9" spans="1:14" ht="27.6" x14ac:dyDescent="0.3">
      <c r="A9" s="60" t="s">
        <v>1061</v>
      </c>
      <c r="B9" s="63" t="s">
        <v>1062</v>
      </c>
      <c r="C9" s="61">
        <v>5</v>
      </c>
      <c r="D9" s="63" t="s">
        <v>207</v>
      </c>
      <c r="E9" s="63" t="s">
        <v>1071</v>
      </c>
      <c r="F9" s="63" t="s">
        <v>204</v>
      </c>
      <c r="G9" s="61">
        <v>5</v>
      </c>
      <c r="H9" s="61">
        <v>15</v>
      </c>
      <c r="I9" s="59">
        <v>4</v>
      </c>
      <c r="J9" s="59" t="s">
        <v>193</v>
      </c>
      <c r="K9" s="62">
        <v>0</v>
      </c>
      <c r="L9" s="59" t="s">
        <v>80</v>
      </c>
      <c r="M9" s="63"/>
      <c r="N9" s="63" t="s">
        <v>1066</v>
      </c>
    </row>
    <row r="10" spans="1:14" ht="27.6" x14ac:dyDescent="0.3">
      <c r="A10" s="60" t="s">
        <v>1061</v>
      </c>
      <c r="B10" s="63" t="s">
        <v>1062</v>
      </c>
      <c r="C10" s="61">
        <v>6</v>
      </c>
      <c r="D10" s="63" t="s">
        <v>1072</v>
      </c>
      <c r="E10" s="63" t="s">
        <v>1073</v>
      </c>
      <c r="F10" s="63" t="s">
        <v>211</v>
      </c>
      <c r="G10" s="61">
        <v>2</v>
      </c>
      <c r="H10" s="61">
        <v>4</v>
      </c>
      <c r="I10" s="59" t="s">
        <v>1074</v>
      </c>
      <c r="J10" s="59" t="s">
        <v>193</v>
      </c>
      <c r="K10" s="62">
        <v>0</v>
      </c>
      <c r="L10" s="59" t="s">
        <v>80</v>
      </c>
      <c r="M10" s="63"/>
      <c r="N10" s="63" t="s">
        <v>1075</v>
      </c>
    </row>
    <row r="11" spans="1:14" ht="27.6" x14ac:dyDescent="0.3">
      <c r="A11" s="60" t="s">
        <v>1061</v>
      </c>
      <c r="B11" s="63" t="s">
        <v>1062</v>
      </c>
      <c r="C11" s="61">
        <v>7</v>
      </c>
      <c r="D11" s="63" t="s">
        <v>1076</v>
      </c>
      <c r="E11" s="63" t="s">
        <v>1077</v>
      </c>
      <c r="F11" s="63" t="s">
        <v>214</v>
      </c>
      <c r="G11" s="61">
        <v>28</v>
      </c>
      <c r="H11" s="61">
        <v>56</v>
      </c>
      <c r="I11" s="59">
        <v>3</v>
      </c>
      <c r="J11" s="59" t="s">
        <v>193</v>
      </c>
      <c r="K11" s="62">
        <v>0</v>
      </c>
      <c r="L11" s="59" t="s">
        <v>80</v>
      </c>
      <c r="M11" s="63"/>
      <c r="N11" s="63" t="s">
        <v>1066</v>
      </c>
    </row>
    <row r="12" spans="1:14" ht="27.6" x14ac:dyDescent="0.3">
      <c r="A12" s="60" t="s">
        <v>1061</v>
      </c>
      <c r="B12" s="63" t="s">
        <v>1062</v>
      </c>
      <c r="C12" s="61">
        <v>8</v>
      </c>
      <c r="D12" s="63" t="s">
        <v>1078</v>
      </c>
      <c r="E12" s="63" t="s">
        <v>1079</v>
      </c>
      <c r="F12" s="63" t="s">
        <v>214</v>
      </c>
      <c r="G12" s="61">
        <v>28</v>
      </c>
      <c r="H12" s="61">
        <v>70</v>
      </c>
      <c r="I12" s="59">
        <v>4</v>
      </c>
      <c r="J12" s="59" t="s">
        <v>193</v>
      </c>
      <c r="K12" s="62">
        <v>0</v>
      </c>
      <c r="L12" s="59" t="s">
        <v>80</v>
      </c>
      <c r="M12" s="63"/>
      <c r="N12" s="63" t="s">
        <v>1080</v>
      </c>
    </row>
    <row r="13" spans="1:14" ht="27.6" x14ac:dyDescent="0.3">
      <c r="A13" s="60" t="s">
        <v>1061</v>
      </c>
      <c r="B13" s="63" t="s">
        <v>1062</v>
      </c>
      <c r="C13" s="61">
        <v>9</v>
      </c>
      <c r="D13" s="63" t="s">
        <v>1081</v>
      </c>
      <c r="E13" s="63" t="s">
        <v>1082</v>
      </c>
      <c r="F13" s="63" t="s">
        <v>214</v>
      </c>
      <c r="G13" s="61">
        <v>21</v>
      </c>
      <c r="H13" s="61">
        <v>42</v>
      </c>
      <c r="I13" s="59">
        <v>4</v>
      </c>
      <c r="J13" s="59" t="s">
        <v>193</v>
      </c>
      <c r="K13" s="62">
        <v>0</v>
      </c>
      <c r="L13" s="59" t="s">
        <v>80</v>
      </c>
      <c r="M13" s="63"/>
      <c r="N13" s="63" t="s">
        <v>1066</v>
      </c>
    </row>
    <row r="14" spans="1:14" ht="27.6" x14ac:dyDescent="0.3">
      <c r="A14" s="60" t="s">
        <v>1061</v>
      </c>
      <c r="B14" s="63" t="s">
        <v>1062</v>
      </c>
      <c r="C14" s="61">
        <v>10</v>
      </c>
      <c r="D14" s="63" t="s">
        <v>217</v>
      </c>
      <c r="E14" s="63" t="s">
        <v>1083</v>
      </c>
      <c r="F14" s="63" t="s">
        <v>214</v>
      </c>
      <c r="G14" s="61">
        <v>14</v>
      </c>
      <c r="H14" s="61">
        <v>35</v>
      </c>
      <c r="I14" s="59">
        <v>4</v>
      </c>
      <c r="J14" s="59" t="s">
        <v>193</v>
      </c>
      <c r="K14" s="62">
        <v>0</v>
      </c>
      <c r="L14" s="59" t="s">
        <v>80</v>
      </c>
      <c r="M14" s="63"/>
      <c r="N14" s="63" t="s">
        <v>1066</v>
      </c>
    </row>
    <row r="15" spans="1:14" ht="27.6" x14ac:dyDescent="0.3">
      <c r="A15" s="60" t="s">
        <v>1061</v>
      </c>
      <c r="B15" s="63" t="s">
        <v>1062</v>
      </c>
      <c r="C15" s="61">
        <v>11</v>
      </c>
      <c r="D15" s="63" t="s">
        <v>219</v>
      </c>
      <c r="E15" s="63" t="s">
        <v>1084</v>
      </c>
      <c r="F15" s="63" t="s">
        <v>122</v>
      </c>
      <c r="G15" s="61">
        <v>1</v>
      </c>
      <c r="H15" s="61">
        <v>3</v>
      </c>
      <c r="I15" s="59" t="s">
        <v>1085</v>
      </c>
      <c r="J15" s="59" t="s">
        <v>193</v>
      </c>
      <c r="K15" s="62">
        <v>0</v>
      </c>
      <c r="L15" s="59" t="s">
        <v>80</v>
      </c>
      <c r="M15" s="63"/>
      <c r="N15" s="63" t="s">
        <v>1086</v>
      </c>
    </row>
    <row r="16" spans="1:14" ht="27.6" x14ac:dyDescent="0.3">
      <c r="A16" s="60" t="s">
        <v>1061</v>
      </c>
      <c r="B16" s="63" t="s">
        <v>1062</v>
      </c>
      <c r="C16" s="61">
        <v>12</v>
      </c>
      <c r="D16" s="63" t="s">
        <v>222</v>
      </c>
      <c r="E16" s="63" t="s">
        <v>1087</v>
      </c>
      <c r="F16" s="63" t="s">
        <v>124</v>
      </c>
      <c r="G16" s="61">
        <v>1</v>
      </c>
      <c r="H16" s="61">
        <v>2</v>
      </c>
      <c r="I16" s="59">
        <v>11</v>
      </c>
      <c r="J16" s="59" t="s">
        <v>193</v>
      </c>
      <c r="K16" s="62">
        <v>0</v>
      </c>
      <c r="L16" s="59" t="s">
        <v>80</v>
      </c>
      <c r="M16" s="63"/>
      <c r="N16" s="63" t="s">
        <v>1066</v>
      </c>
    </row>
    <row r="17" spans="1:14" ht="27.6" x14ac:dyDescent="0.3">
      <c r="A17" s="60" t="s">
        <v>1061</v>
      </c>
      <c r="B17" s="63" t="s">
        <v>1062</v>
      </c>
      <c r="C17" s="61">
        <v>13</v>
      </c>
      <c r="D17" s="63" t="s">
        <v>125</v>
      </c>
      <c r="E17" s="63" t="s">
        <v>1088</v>
      </c>
      <c r="F17" s="63" t="s">
        <v>127</v>
      </c>
      <c r="G17" s="61">
        <v>2</v>
      </c>
      <c r="H17" s="61">
        <v>5</v>
      </c>
      <c r="I17" s="59">
        <v>12</v>
      </c>
      <c r="J17" s="59" t="s">
        <v>193</v>
      </c>
      <c r="K17" s="62">
        <v>0</v>
      </c>
      <c r="L17" s="59" t="s">
        <v>80</v>
      </c>
      <c r="M17" s="63"/>
      <c r="N17" s="63" t="s">
        <v>1066</v>
      </c>
    </row>
    <row r="18" spans="1:14" ht="27.6" x14ac:dyDescent="0.3">
      <c r="A18" s="60" t="s">
        <v>1061</v>
      </c>
      <c r="B18" s="63" t="s">
        <v>1062</v>
      </c>
      <c r="C18" s="61">
        <v>14</v>
      </c>
      <c r="D18" s="63" t="s">
        <v>1089</v>
      </c>
      <c r="E18" s="63" t="s">
        <v>1090</v>
      </c>
      <c r="F18" s="63" t="s">
        <v>127</v>
      </c>
      <c r="G18" s="61">
        <v>3</v>
      </c>
      <c r="H18" s="61">
        <v>7</v>
      </c>
      <c r="I18" s="59">
        <v>13</v>
      </c>
      <c r="J18" s="59" t="s">
        <v>193</v>
      </c>
      <c r="K18" s="62">
        <v>0</v>
      </c>
      <c r="L18" s="59" t="s">
        <v>80</v>
      </c>
      <c r="M18" s="63"/>
      <c r="N18" s="63" t="s">
        <v>1066</v>
      </c>
    </row>
    <row r="19" spans="1:14" ht="27.6" x14ac:dyDescent="0.3">
      <c r="A19" s="60" t="s">
        <v>1061</v>
      </c>
      <c r="B19" s="63" t="s">
        <v>1062</v>
      </c>
      <c r="C19" s="61">
        <v>15</v>
      </c>
      <c r="D19" s="63" t="s">
        <v>1091</v>
      </c>
      <c r="E19" s="63" t="s">
        <v>1092</v>
      </c>
      <c r="F19" s="63" t="s">
        <v>131</v>
      </c>
      <c r="G19" s="61">
        <v>3</v>
      </c>
      <c r="H19" s="61">
        <v>7</v>
      </c>
      <c r="I19" s="59">
        <v>14</v>
      </c>
      <c r="J19" s="59" t="s">
        <v>193</v>
      </c>
      <c r="K19" s="62">
        <v>0</v>
      </c>
      <c r="L19" s="59" t="s">
        <v>80</v>
      </c>
      <c r="M19" s="63"/>
      <c r="N19" s="63" t="s">
        <v>1066</v>
      </c>
    </row>
    <row r="20" spans="1:14" ht="27.6" x14ac:dyDescent="0.3">
      <c r="A20" s="60" t="s">
        <v>1061</v>
      </c>
      <c r="B20" s="63" t="s">
        <v>1062</v>
      </c>
      <c r="C20" s="61">
        <v>16</v>
      </c>
      <c r="D20" s="63" t="s">
        <v>1093</v>
      </c>
      <c r="E20" s="63" t="s">
        <v>1094</v>
      </c>
      <c r="F20" s="63" t="s">
        <v>124</v>
      </c>
      <c r="G20" s="61">
        <v>2</v>
      </c>
      <c r="H20" s="61">
        <v>5</v>
      </c>
      <c r="I20" s="59">
        <v>15</v>
      </c>
      <c r="J20" s="59" t="s">
        <v>193</v>
      </c>
      <c r="K20" s="62">
        <v>0</v>
      </c>
      <c r="L20" s="59" t="s">
        <v>80</v>
      </c>
      <c r="M20" s="63"/>
      <c r="N20" s="63" t="s">
        <v>1095</v>
      </c>
    </row>
    <row r="21" spans="1:14" ht="27.6" x14ac:dyDescent="0.3">
      <c r="A21" s="60" t="s">
        <v>1061</v>
      </c>
      <c r="B21" s="63" t="s">
        <v>1062</v>
      </c>
      <c r="C21" s="61">
        <v>17</v>
      </c>
      <c r="D21" s="63" t="s">
        <v>1096</v>
      </c>
      <c r="E21" s="63" t="s">
        <v>1097</v>
      </c>
      <c r="F21" s="63" t="s">
        <v>127</v>
      </c>
      <c r="G21" s="61">
        <v>4</v>
      </c>
      <c r="H21" s="61">
        <v>10</v>
      </c>
      <c r="I21" s="59">
        <v>13</v>
      </c>
      <c r="J21" s="59" t="s">
        <v>193</v>
      </c>
      <c r="K21" s="62">
        <v>0</v>
      </c>
      <c r="L21" s="59" t="s">
        <v>80</v>
      </c>
      <c r="M21" s="63"/>
      <c r="N21" s="63" t="s">
        <v>1098</v>
      </c>
    </row>
    <row r="22" spans="1:14" ht="27.6" x14ac:dyDescent="0.3">
      <c r="A22" s="60" t="s">
        <v>1061</v>
      </c>
      <c r="B22" s="63" t="s">
        <v>1062</v>
      </c>
      <c r="C22" s="61">
        <v>18</v>
      </c>
      <c r="D22" s="63" t="s">
        <v>1099</v>
      </c>
      <c r="E22" s="63" t="s">
        <v>1100</v>
      </c>
      <c r="F22" s="63" t="s">
        <v>131</v>
      </c>
      <c r="G22" s="61">
        <v>4</v>
      </c>
      <c r="H22" s="61">
        <v>10</v>
      </c>
      <c r="I22" s="59">
        <v>13</v>
      </c>
      <c r="J22" s="59" t="s">
        <v>193</v>
      </c>
      <c r="K22" s="62">
        <v>0</v>
      </c>
      <c r="L22" s="59" t="s">
        <v>104</v>
      </c>
      <c r="M22" s="63" t="s">
        <v>1101</v>
      </c>
      <c r="N22" s="63" t="s">
        <v>1102</v>
      </c>
    </row>
    <row r="23" spans="1:14" ht="27.6" x14ac:dyDescent="0.3">
      <c r="A23" s="60" t="s">
        <v>1061</v>
      </c>
      <c r="B23" s="63" t="s">
        <v>1062</v>
      </c>
      <c r="C23" s="61">
        <v>19</v>
      </c>
      <c r="D23" s="63" t="s">
        <v>1103</v>
      </c>
      <c r="E23" s="63" t="s">
        <v>1104</v>
      </c>
      <c r="F23" s="63" t="s">
        <v>124</v>
      </c>
      <c r="G23" s="61">
        <v>1</v>
      </c>
      <c r="H23" s="61">
        <v>3</v>
      </c>
      <c r="I23" s="59">
        <v>18</v>
      </c>
      <c r="J23" s="59" t="s">
        <v>193</v>
      </c>
      <c r="K23" s="62">
        <v>0</v>
      </c>
      <c r="L23" s="59" t="s">
        <v>104</v>
      </c>
      <c r="M23" s="63" t="s">
        <v>1105</v>
      </c>
      <c r="N23" s="63" t="s">
        <v>1106</v>
      </c>
    </row>
    <row r="24" spans="1:14" ht="27.6" x14ac:dyDescent="0.3">
      <c r="A24" s="60" t="s">
        <v>1061</v>
      </c>
      <c r="B24" s="63" t="s">
        <v>1062</v>
      </c>
      <c r="C24" s="61">
        <v>20</v>
      </c>
      <c r="D24" s="63" t="s">
        <v>1107</v>
      </c>
      <c r="E24" s="63" t="s">
        <v>1108</v>
      </c>
      <c r="F24" s="63" t="s">
        <v>137</v>
      </c>
      <c r="G24" s="61">
        <v>5</v>
      </c>
      <c r="H24" s="61">
        <v>15</v>
      </c>
      <c r="I24" s="59" t="s">
        <v>1109</v>
      </c>
      <c r="J24" s="59" t="s">
        <v>193</v>
      </c>
      <c r="K24" s="62">
        <v>0</v>
      </c>
      <c r="L24" s="59" t="s">
        <v>80</v>
      </c>
      <c r="M24" s="63"/>
      <c r="N24" s="63" t="s">
        <v>1110</v>
      </c>
    </row>
    <row r="25" spans="1:14" ht="27.6" x14ac:dyDescent="0.3">
      <c r="A25" s="60" t="s">
        <v>1061</v>
      </c>
      <c r="B25" s="63" t="s">
        <v>1062</v>
      </c>
      <c r="C25" s="61">
        <v>21</v>
      </c>
      <c r="D25" s="63" t="s">
        <v>1111</v>
      </c>
      <c r="E25" s="63" t="s">
        <v>1112</v>
      </c>
      <c r="F25" s="63" t="s">
        <v>124</v>
      </c>
      <c r="G25" s="61">
        <v>1</v>
      </c>
      <c r="H25" s="61">
        <v>3</v>
      </c>
      <c r="I25" s="59">
        <v>20</v>
      </c>
      <c r="J25" s="59" t="s">
        <v>193</v>
      </c>
      <c r="K25" s="62">
        <v>0</v>
      </c>
      <c r="L25" s="59" t="s">
        <v>80</v>
      </c>
      <c r="M25" s="63"/>
      <c r="N25" s="63" t="s">
        <v>1066</v>
      </c>
    </row>
    <row r="26" spans="1:14" ht="27.6" x14ac:dyDescent="0.3">
      <c r="A26" s="60" t="s">
        <v>1061</v>
      </c>
      <c r="B26" s="63" t="s">
        <v>1062</v>
      </c>
      <c r="C26" s="61">
        <v>22</v>
      </c>
      <c r="D26" s="63" t="s">
        <v>1113</v>
      </c>
      <c r="E26" s="63" t="s">
        <v>1114</v>
      </c>
      <c r="F26" s="63" t="s">
        <v>137</v>
      </c>
      <c r="G26" s="61">
        <v>3</v>
      </c>
      <c r="H26" s="61">
        <v>8</v>
      </c>
      <c r="I26" s="59">
        <v>13</v>
      </c>
      <c r="J26" s="59" t="s">
        <v>193</v>
      </c>
      <c r="K26" s="62">
        <v>0</v>
      </c>
      <c r="L26" s="59" t="s">
        <v>104</v>
      </c>
      <c r="M26" s="63" t="s">
        <v>1115</v>
      </c>
      <c r="N26" s="63" t="s">
        <v>1066</v>
      </c>
    </row>
    <row r="27" spans="1:14" ht="27.6" x14ac:dyDescent="0.3">
      <c r="A27" s="60" t="s">
        <v>1061</v>
      </c>
      <c r="B27" s="63" t="s">
        <v>1062</v>
      </c>
      <c r="C27" s="61">
        <v>23</v>
      </c>
      <c r="D27" s="63" t="s">
        <v>1116</v>
      </c>
      <c r="E27" s="63" t="s">
        <v>1117</v>
      </c>
      <c r="F27" s="63" t="s">
        <v>137</v>
      </c>
      <c r="G27" s="61">
        <v>2</v>
      </c>
      <c r="H27" s="61">
        <v>5</v>
      </c>
      <c r="I27" s="59">
        <v>12</v>
      </c>
      <c r="J27" s="59" t="s">
        <v>193</v>
      </c>
      <c r="K27" s="62">
        <v>0</v>
      </c>
      <c r="L27" s="59" t="s">
        <v>80</v>
      </c>
      <c r="M27" s="63"/>
      <c r="N27" s="63" t="s">
        <v>1066</v>
      </c>
    </row>
    <row r="28" spans="1:14" ht="27.6" x14ac:dyDescent="0.3">
      <c r="A28" s="60" t="s">
        <v>1061</v>
      </c>
      <c r="B28" s="63" t="s">
        <v>1062</v>
      </c>
      <c r="C28" s="61">
        <v>24</v>
      </c>
      <c r="D28" s="63" t="s">
        <v>1118</v>
      </c>
      <c r="E28" s="63" t="s">
        <v>1119</v>
      </c>
      <c r="F28" s="63" t="s">
        <v>131</v>
      </c>
      <c r="G28" s="61">
        <v>3</v>
      </c>
      <c r="H28" s="61">
        <v>8</v>
      </c>
      <c r="I28" s="59">
        <v>16</v>
      </c>
      <c r="J28" s="59" t="s">
        <v>193</v>
      </c>
      <c r="K28" s="62">
        <v>0</v>
      </c>
      <c r="L28" s="59" t="s">
        <v>80</v>
      </c>
      <c r="M28" s="63"/>
      <c r="N28" s="63" t="s">
        <v>1066</v>
      </c>
    </row>
    <row r="29" spans="1:14" ht="27.6" x14ac:dyDescent="0.3">
      <c r="A29" s="60" t="s">
        <v>1061</v>
      </c>
      <c r="B29" s="63" t="s">
        <v>1062</v>
      </c>
      <c r="C29" s="61">
        <v>25</v>
      </c>
      <c r="D29" s="63" t="s">
        <v>1120</v>
      </c>
      <c r="E29" s="63" t="s">
        <v>1121</v>
      </c>
      <c r="F29" s="63" t="s">
        <v>131</v>
      </c>
      <c r="G29" s="61">
        <v>2</v>
      </c>
      <c r="H29" s="61">
        <v>5</v>
      </c>
      <c r="I29" s="59" t="s">
        <v>1122</v>
      </c>
      <c r="J29" s="59" t="s">
        <v>193</v>
      </c>
      <c r="K29" s="62">
        <v>0</v>
      </c>
      <c r="L29" s="59" t="s">
        <v>80</v>
      </c>
      <c r="M29" s="63"/>
      <c r="N29" s="63" t="s">
        <v>1066</v>
      </c>
    </row>
    <row r="30" spans="1:14" ht="27.6" x14ac:dyDescent="0.3">
      <c r="A30" s="60" t="s">
        <v>1061</v>
      </c>
      <c r="B30" s="63" t="s">
        <v>1062</v>
      </c>
      <c r="C30" s="61">
        <v>26</v>
      </c>
      <c r="D30" s="63" t="s">
        <v>1123</v>
      </c>
      <c r="E30" s="63" t="s">
        <v>1124</v>
      </c>
      <c r="F30" s="63" t="s">
        <v>131</v>
      </c>
      <c r="G30" s="61">
        <v>3</v>
      </c>
      <c r="H30" s="61">
        <v>7</v>
      </c>
      <c r="I30" s="59" t="s">
        <v>1125</v>
      </c>
      <c r="J30" s="59" t="s">
        <v>193</v>
      </c>
      <c r="K30" s="62">
        <v>0</v>
      </c>
      <c r="L30" s="59" t="s">
        <v>80</v>
      </c>
      <c r="M30" s="63"/>
      <c r="N30" s="63" t="s">
        <v>1066</v>
      </c>
    </row>
    <row r="31" spans="1:14" ht="27.6" x14ac:dyDescent="0.3">
      <c r="A31" s="60" t="s">
        <v>1061</v>
      </c>
      <c r="B31" s="63" t="s">
        <v>1062</v>
      </c>
      <c r="C31" s="61">
        <v>27</v>
      </c>
      <c r="D31" s="63" t="s">
        <v>1126</v>
      </c>
      <c r="E31" s="63" t="s">
        <v>1127</v>
      </c>
      <c r="F31" s="63" t="s">
        <v>131</v>
      </c>
      <c r="G31" s="61">
        <v>2</v>
      </c>
      <c r="H31" s="61">
        <v>5</v>
      </c>
      <c r="I31" s="59">
        <v>25</v>
      </c>
      <c r="J31" s="59" t="s">
        <v>193</v>
      </c>
      <c r="K31" s="62">
        <v>0</v>
      </c>
      <c r="L31" s="59" t="s">
        <v>80</v>
      </c>
      <c r="M31" s="63"/>
      <c r="N31" s="63" t="s">
        <v>1066</v>
      </c>
    </row>
    <row r="32" spans="1:14" ht="27.6" x14ac:dyDescent="0.3">
      <c r="A32" s="60" t="s">
        <v>1061</v>
      </c>
      <c r="B32" s="63" t="s">
        <v>1062</v>
      </c>
      <c r="C32" s="61">
        <v>28</v>
      </c>
      <c r="D32" s="63" t="s">
        <v>1128</v>
      </c>
      <c r="E32" s="63" t="s">
        <v>1129</v>
      </c>
      <c r="F32" s="63" t="s">
        <v>124</v>
      </c>
      <c r="G32" s="61">
        <v>2</v>
      </c>
      <c r="H32" s="61">
        <v>7</v>
      </c>
      <c r="I32" s="59" t="s">
        <v>1130</v>
      </c>
      <c r="J32" s="59" t="s">
        <v>193</v>
      </c>
      <c r="K32" s="62">
        <v>0</v>
      </c>
      <c r="L32" s="59" t="s">
        <v>104</v>
      </c>
      <c r="M32" s="63" t="s">
        <v>1131</v>
      </c>
      <c r="N32" s="63" t="s">
        <v>1132</v>
      </c>
    </row>
    <row r="33" spans="1:14" ht="27.6" x14ac:dyDescent="0.3">
      <c r="A33" s="60" t="s">
        <v>1061</v>
      </c>
      <c r="B33" s="63" t="s">
        <v>1062</v>
      </c>
      <c r="C33" s="61">
        <v>29</v>
      </c>
      <c r="D33" s="63" t="s">
        <v>1133</v>
      </c>
      <c r="E33" s="63" t="s">
        <v>1134</v>
      </c>
      <c r="F33" s="63" t="s">
        <v>131</v>
      </c>
      <c r="G33" s="61">
        <v>3</v>
      </c>
      <c r="H33" s="61">
        <v>7</v>
      </c>
      <c r="I33" s="59" t="s">
        <v>1135</v>
      </c>
      <c r="J33" s="59" t="s">
        <v>193</v>
      </c>
      <c r="K33" s="62">
        <v>0</v>
      </c>
      <c r="L33" s="59" t="s">
        <v>104</v>
      </c>
      <c r="M33" s="63" t="s">
        <v>1136</v>
      </c>
      <c r="N33" s="63" t="s">
        <v>1137</v>
      </c>
    </row>
    <row r="34" spans="1:14" ht="27.6" x14ac:dyDescent="0.3">
      <c r="A34" s="60" t="s">
        <v>1061</v>
      </c>
      <c r="B34" s="63" t="s">
        <v>1062</v>
      </c>
      <c r="C34" s="61">
        <v>30</v>
      </c>
      <c r="D34" s="63" t="s">
        <v>1138</v>
      </c>
      <c r="E34" s="63" t="s">
        <v>1139</v>
      </c>
      <c r="F34" s="63" t="s">
        <v>131</v>
      </c>
      <c r="G34" s="61">
        <v>2</v>
      </c>
      <c r="H34" s="61">
        <v>5</v>
      </c>
      <c r="I34" s="59">
        <v>21</v>
      </c>
      <c r="J34" s="59" t="s">
        <v>193</v>
      </c>
      <c r="K34" s="62">
        <v>0</v>
      </c>
      <c r="L34" s="59" t="s">
        <v>104</v>
      </c>
      <c r="M34" s="63" t="s">
        <v>1140</v>
      </c>
      <c r="N34" s="63" t="s">
        <v>1141</v>
      </c>
    </row>
    <row r="35" spans="1:14" ht="27.6" x14ac:dyDescent="0.3">
      <c r="A35" s="60" t="s">
        <v>1061</v>
      </c>
      <c r="B35" s="63" t="s">
        <v>1062</v>
      </c>
      <c r="C35" s="61">
        <v>31</v>
      </c>
      <c r="D35" s="63" t="s">
        <v>1142</v>
      </c>
      <c r="E35" s="63" t="s">
        <v>1143</v>
      </c>
      <c r="F35" s="63" t="s">
        <v>127</v>
      </c>
      <c r="G35" s="61">
        <v>2</v>
      </c>
      <c r="H35" s="61">
        <v>5</v>
      </c>
      <c r="I35" s="59" t="s">
        <v>1144</v>
      </c>
      <c r="J35" s="59" t="s">
        <v>193</v>
      </c>
      <c r="K35" s="62">
        <v>0</v>
      </c>
      <c r="L35" s="59" t="s">
        <v>80</v>
      </c>
      <c r="M35" s="63"/>
      <c r="N35" s="63" t="s">
        <v>1066</v>
      </c>
    </row>
    <row r="36" spans="1:14" ht="27.6" x14ac:dyDescent="0.3">
      <c r="A36" s="60" t="s">
        <v>1061</v>
      </c>
      <c r="B36" s="63" t="s">
        <v>1062</v>
      </c>
      <c r="C36" s="61">
        <v>32</v>
      </c>
      <c r="D36" s="63" t="s">
        <v>1145</v>
      </c>
      <c r="E36" s="63" t="s">
        <v>1146</v>
      </c>
      <c r="F36" s="63" t="s">
        <v>131</v>
      </c>
      <c r="G36" s="61">
        <v>4</v>
      </c>
      <c r="H36" s="61">
        <v>12</v>
      </c>
      <c r="I36" s="59" t="s">
        <v>1147</v>
      </c>
      <c r="J36" s="59" t="s">
        <v>193</v>
      </c>
      <c r="K36" s="62">
        <v>0</v>
      </c>
      <c r="L36" s="59" t="s">
        <v>80</v>
      </c>
      <c r="M36" s="63"/>
      <c r="N36" s="63" t="s">
        <v>1066</v>
      </c>
    </row>
    <row r="37" spans="1:14" ht="27.6" x14ac:dyDescent="0.3">
      <c r="A37" s="60" t="s">
        <v>1061</v>
      </c>
      <c r="B37" s="63" t="s">
        <v>1062</v>
      </c>
      <c r="C37" s="61">
        <v>33</v>
      </c>
      <c r="D37" s="63" t="s">
        <v>1148</v>
      </c>
      <c r="E37" s="63" t="s">
        <v>1149</v>
      </c>
      <c r="F37" s="63" t="s">
        <v>131</v>
      </c>
      <c r="G37" s="61">
        <v>3</v>
      </c>
      <c r="H37" s="61">
        <v>10</v>
      </c>
      <c r="I37" s="59">
        <v>32</v>
      </c>
      <c r="J37" s="59" t="s">
        <v>193</v>
      </c>
      <c r="K37" s="62">
        <v>0</v>
      </c>
      <c r="L37" s="59" t="s">
        <v>104</v>
      </c>
      <c r="M37" s="63" t="s">
        <v>1150</v>
      </c>
      <c r="N37" s="63" t="s">
        <v>1151</v>
      </c>
    </row>
    <row r="38" spans="1:14" ht="27.6" x14ac:dyDescent="0.3">
      <c r="A38" s="60" t="s">
        <v>1061</v>
      </c>
      <c r="B38" s="63" t="s">
        <v>1062</v>
      </c>
      <c r="C38" s="61">
        <v>34</v>
      </c>
      <c r="D38" s="63" t="s">
        <v>1152</v>
      </c>
      <c r="E38" s="63" t="s">
        <v>1153</v>
      </c>
      <c r="F38" s="63" t="s">
        <v>124</v>
      </c>
      <c r="G38" s="61">
        <v>1</v>
      </c>
      <c r="H38" s="61">
        <v>4</v>
      </c>
      <c r="I38" s="59" t="s">
        <v>1154</v>
      </c>
      <c r="J38" s="59" t="s">
        <v>193</v>
      </c>
      <c r="K38" s="62">
        <v>0</v>
      </c>
      <c r="L38" s="59" t="s">
        <v>80</v>
      </c>
      <c r="M38" s="63"/>
      <c r="N38" s="63" t="s">
        <v>1155</v>
      </c>
    </row>
    <row r="39" spans="1:14" ht="27.6" x14ac:dyDescent="0.3">
      <c r="A39" s="60" t="s">
        <v>1061</v>
      </c>
      <c r="B39" s="63" t="s">
        <v>1062</v>
      </c>
      <c r="C39" s="61">
        <v>35</v>
      </c>
      <c r="D39" s="63" t="s">
        <v>1156</v>
      </c>
      <c r="E39" s="63" t="s">
        <v>1157</v>
      </c>
      <c r="F39" s="63" t="s">
        <v>131</v>
      </c>
      <c r="G39" s="61">
        <v>2</v>
      </c>
      <c r="H39" s="61">
        <v>5</v>
      </c>
      <c r="I39" s="59" t="s">
        <v>1158</v>
      </c>
      <c r="J39" s="59" t="s">
        <v>193</v>
      </c>
      <c r="K39" s="62">
        <v>0</v>
      </c>
      <c r="L39" s="59" t="s">
        <v>104</v>
      </c>
      <c r="M39" s="63" t="s">
        <v>1159</v>
      </c>
      <c r="N39" s="63" t="s">
        <v>1160</v>
      </c>
    </row>
    <row r="40" spans="1:14" ht="27.6" x14ac:dyDescent="0.3">
      <c r="A40" s="60" t="s">
        <v>1061</v>
      </c>
      <c r="B40" s="63" t="s">
        <v>1062</v>
      </c>
      <c r="C40" s="61">
        <v>36</v>
      </c>
      <c r="D40" s="63" t="s">
        <v>1161</v>
      </c>
      <c r="E40" s="63" t="s">
        <v>1162</v>
      </c>
      <c r="F40" s="63" t="s">
        <v>131</v>
      </c>
      <c r="G40" s="61">
        <v>2</v>
      </c>
      <c r="H40" s="61">
        <v>5</v>
      </c>
      <c r="I40" s="59" t="s">
        <v>1163</v>
      </c>
      <c r="J40" s="59" t="s">
        <v>193</v>
      </c>
      <c r="K40" s="62">
        <v>0</v>
      </c>
      <c r="L40" s="59" t="s">
        <v>80</v>
      </c>
      <c r="M40" s="63"/>
      <c r="N40" s="63" t="s">
        <v>1066</v>
      </c>
    </row>
    <row r="41" spans="1:14" ht="27.6" x14ac:dyDescent="0.3">
      <c r="A41" s="60" t="s">
        <v>1061</v>
      </c>
      <c r="B41" s="63" t="s">
        <v>1062</v>
      </c>
      <c r="C41" s="61">
        <v>37</v>
      </c>
      <c r="D41" s="63" t="s">
        <v>1164</v>
      </c>
      <c r="E41" s="63" t="s">
        <v>1165</v>
      </c>
      <c r="F41" s="63" t="s">
        <v>124</v>
      </c>
      <c r="G41" s="61">
        <v>1</v>
      </c>
      <c r="H41" s="61">
        <v>3</v>
      </c>
      <c r="I41" s="59">
        <v>36</v>
      </c>
      <c r="J41" s="59" t="s">
        <v>193</v>
      </c>
      <c r="K41" s="62">
        <v>0</v>
      </c>
      <c r="L41" s="59" t="s">
        <v>80</v>
      </c>
      <c r="M41" s="63"/>
      <c r="N41" s="63" t="s">
        <v>1066</v>
      </c>
    </row>
    <row r="42" spans="1:14" ht="27.6" x14ac:dyDescent="0.3">
      <c r="A42" s="60" t="s">
        <v>1061</v>
      </c>
      <c r="B42" s="63" t="s">
        <v>1062</v>
      </c>
      <c r="C42" s="61">
        <v>38</v>
      </c>
      <c r="D42" s="63" t="s">
        <v>1166</v>
      </c>
      <c r="E42" s="63" t="s">
        <v>1167</v>
      </c>
      <c r="F42" s="63" t="s">
        <v>124</v>
      </c>
      <c r="G42" s="61">
        <v>1</v>
      </c>
      <c r="H42" s="61">
        <v>2</v>
      </c>
      <c r="I42" s="59">
        <v>37</v>
      </c>
      <c r="J42" s="59" t="s">
        <v>193</v>
      </c>
      <c r="K42" s="62">
        <v>0</v>
      </c>
      <c r="L42" s="59" t="s">
        <v>80</v>
      </c>
      <c r="M42" s="63"/>
      <c r="N42" s="63" t="s">
        <v>1168</v>
      </c>
    </row>
    <row r="43" spans="1:14" ht="27.6" x14ac:dyDescent="0.3">
      <c r="A43" s="60" t="s">
        <v>1061</v>
      </c>
      <c r="B43" s="63" t="s">
        <v>1062</v>
      </c>
      <c r="C43" s="61">
        <v>39</v>
      </c>
      <c r="D43" s="63" t="s">
        <v>1169</v>
      </c>
      <c r="E43" s="63" t="s">
        <v>1170</v>
      </c>
      <c r="F43" s="63" t="s">
        <v>124</v>
      </c>
      <c r="G43" s="61">
        <v>1</v>
      </c>
      <c r="H43" s="61">
        <v>2</v>
      </c>
      <c r="I43" s="59">
        <v>38</v>
      </c>
      <c r="J43" s="59" t="s">
        <v>193</v>
      </c>
      <c r="K43" s="62">
        <v>0</v>
      </c>
      <c r="L43" s="59" t="s">
        <v>80</v>
      </c>
      <c r="M43" s="63"/>
      <c r="N43" s="63" t="s">
        <v>1171</v>
      </c>
    </row>
    <row r="44" spans="1:14" ht="27.6" x14ac:dyDescent="0.3">
      <c r="A44" s="60" t="s">
        <v>1061</v>
      </c>
      <c r="B44" s="63" t="s">
        <v>1062</v>
      </c>
      <c r="C44" s="61">
        <v>40</v>
      </c>
      <c r="D44" s="63" t="s">
        <v>1172</v>
      </c>
      <c r="E44" s="63" t="s">
        <v>1173</v>
      </c>
      <c r="F44" s="63" t="s">
        <v>276</v>
      </c>
      <c r="G44" s="61">
        <v>3</v>
      </c>
      <c r="H44" s="61">
        <v>7</v>
      </c>
      <c r="I44" s="59">
        <v>39</v>
      </c>
      <c r="J44" s="59" t="s">
        <v>193</v>
      </c>
      <c r="K44" s="62">
        <v>0</v>
      </c>
      <c r="L44" s="59" t="s">
        <v>104</v>
      </c>
      <c r="M44" s="63" t="s">
        <v>1174</v>
      </c>
      <c r="N44" s="63" t="s">
        <v>1175</v>
      </c>
    </row>
    <row r="45" spans="1:14" ht="27.6" x14ac:dyDescent="0.3">
      <c r="A45" s="60" t="s">
        <v>1061</v>
      </c>
      <c r="B45" s="63" t="s">
        <v>1062</v>
      </c>
      <c r="C45" s="61">
        <v>41</v>
      </c>
      <c r="D45" s="63" t="s">
        <v>1176</v>
      </c>
      <c r="E45" s="63" t="s">
        <v>1177</v>
      </c>
      <c r="F45" s="63" t="s">
        <v>289</v>
      </c>
      <c r="G45" s="61">
        <v>2</v>
      </c>
      <c r="H45" s="61">
        <v>5</v>
      </c>
      <c r="I45" s="59" t="s">
        <v>1178</v>
      </c>
      <c r="J45" s="59" t="s">
        <v>193</v>
      </c>
      <c r="K45" s="62">
        <v>0</v>
      </c>
      <c r="L45" s="59" t="s">
        <v>80</v>
      </c>
      <c r="M45" s="63"/>
      <c r="N45" s="63" t="s">
        <v>1179</v>
      </c>
    </row>
    <row r="46" spans="1:14" ht="27.6" x14ac:dyDescent="0.3">
      <c r="A46" s="60" t="s">
        <v>1061</v>
      </c>
      <c r="B46" s="63" t="s">
        <v>1062</v>
      </c>
      <c r="C46" s="61">
        <v>42</v>
      </c>
      <c r="D46" s="63" t="s">
        <v>1180</v>
      </c>
      <c r="E46" s="63" t="s">
        <v>1181</v>
      </c>
      <c r="F46" s="63" t="s">
        <v>293</v>
      </c>
      <c r="G46" s="61">
        <v>1</v>
      </c>
      <c r="H46" s="61">
        <v>3</v>
      </c>
      <c r="I46" s="59">
        <v>41</v>
      </c>
      <c r="J46" s="59" t="s">
        <v>193</v>
      </c>
      <c r="K46" s="62">
        <v>0</v>
      </c>
      <c r="L46" s="59" t="s">
        <v>80</v>
      </c>
      <c r="M46" s="63"/>
      <c r="N46" s="63" t="s">
        <v>1066</v>
      </c>
    </row>
    <row r="47" spans="1:14" x14ac:dyDescent="0.3">
      <c r="A47" s="9"/>
      <c r="B47" s="9"/>
      <c r="C47" s="9"/>
      <c r="D47" s="9"/>
      <c r="E47" s="9"/>
      <c r="F47" s="9"/>
      <c r="G47" s="9"/>
      <c r="H47" s="9"/>
      <c r="I47" s="9"/>
      <c r="J47" s="9"/>
      <c r="K47" s="9"/>
      <c r="L47" s="9"/>
      <c r="M47" s="9"/>
      <c r="N47" s="9"/>
    </row>
    <row r="48" spans="1:14" x14ac:dyDescent="0.3">
      <c r="A48" s="9"/>
      <c r="B48" s="9"/>
      <c r="C48" s="9"/>
      <c r="D48" s="9"/>
      <c r="E48" s="9"/>
      <c r="F48" s="9"/>
      <c r="G48" s="9"/>
      <c r="H48" s="9"/>
      <c r="I48" s="9"/>
      <c r="J48" s="9"/>
      <c r="K48" s="9"/>
      <c r="L48" s="9"/>
      <c r="M48" s="9"/>
      <c r="N48" s="9"/>
    </row>
    <row r="49" spans="1:14" x14ac:dyDescent="0.3">
      <c r="A49" s="9"/>
      <c r="B49" s="9"/>
      <c r="C49" s="9"/>
      <c r="D49" s="9"/>
      <c r="E49" s="9"/>
      <c r="F49" s="9"/>
      <c r="G49" s="9"/>
      <c r="H49" s="9"/>
      <c r="I49" s="9"/>
      <c r="J49" s="9"/>
      <c r="K49" s="9"/>
      <c r="L49" s="9"/>
      <c r="M49" s="9"/>
      <c r="N49" s="9"/>
    </row>
    <row r="50" spans="1:14" x14ac:dyDescent="0.3">
      <c r="A50" s="9"/>
      <c r="B50" s="9"/>
      <c r="C50" s="9"/>
      <c r="D50" s="9"/>
      <c r="E50" s="9"/>
      <c r="F50" s="9"/>
      <c r="G50" s="9"/>
      <c r="H50" s="9"/>
      <c r="I50" s="9"/>
      <c r="J50" s="9"/>
      <c r="K50" s="9"/>
      <c r="L50" s="9"/>
      <c r="M50" s="9"/>
      <c r="N50" s="9"/>
    </row>
    <row r="51" spans="1:14" x14ac:dyDescent="0.3">
      <c r="A51" s="9"/>
      <c r="B51" s="9"/>
      <c r="C51" s="9"/>
      <c r="D51" s="9"/>
      <c r="E51" s="9"/>
      <c r="F51" s="9"/>
      <c r="G51" s="9"/>
      <c r="H51" s="9"/>
      <c r="I51" s="9"/>
      <c r="J51" s="9"/>
      <c r="K51" s="9"/>
      <c r="L51" s="9"/>
      <c r="M51" s="9"/>
      <c r="N51" s="9"/>
    </row>
    <row r="52" spans="1:14" x14ac:dyDescent="0.3">
      <c r="A52" s="9"/>
      <c r="B52" s="9"/>
      <c r="C52" s="9"/>
      <c r="D52" s="9"/>
      <c r="E52" s="9"/>
      <c r="F52" s="9"/>
      <c r="G52" s="9"/>
      <c r="H52" s="9"/>
      <c r="I52" s="9"/>
      <c r="J52" s="9"/>
      <c r="K52" s="9"/>
      <c r="L52" s="9"/>
      <c r="M52" s="9"/>
      <c r="N52" s="9"/>
    </row>
    <row r="53" spans="1:14" x14ac:dyDescent="0.3">
      <c r="A53" s="9"/>
      <c r="B53" s="9"/>
      <c r="C53" s="9"/>
      <c r="D53" s="9"/>
      <c r="E53" s="9"/>
      <c r="F53" s="9"/>
      <c r="G53" s="9"/>
      <c r="H53" s="9"/>
      <c r="I53" s="9"/>
      <c r="J53" s="9"/>
      <c r="K53" s="9"/>
      <c r="L53" s="9"/>
      <c r="M53" s="9"/>
      <c r="N53" s="9"/>
    </row>
    <row r="54" spans="1:14" x14ac:dyDescent="0.3">
      <c r="A54" s="9"/>
      <c r="B54" s="9"/>
      <c r="C54" s="9"/>
      <c r="D54" s="9"/>
      <c r="E54" s="9"/>
      <c r="F54" s="9"/>
      <c r="G54" s="9"/>
      <c r="H54" s="9"/>
      <c r="I54" s="9"/>
      <c r="J54" s="9"/>
      <c r="K54" s="9"/>
      <c r="L54" s="9"/>
      <c r="M54" s="9"/>
      <c r="N54" s="9"/>
    </row>
    <row r="55" spans="1:14" x14ac:dyDescent="0.3">
      <c r="A55" s="9"/>
      <c r="B55" s="9"/>
      <c r="C55" s="9"/>
      <c r="D55" s="9"/>
      <c r="E55" s="9"/>
      <c r="F55" s="9"/>
      <c r="G55" s="9"/>
      <c r="H55" s="9"/>
      <c r="I55" s="9"/>
      <c r="J55" s="9"/>
      <c r="K55" s="9"/>
      <c r="L55" s="9"/>
      <c r="M55" s="9"/>
      <c r="N55" s="9"/>
    </row>
    <row r="56" spans="1:14" x14ac:dyDescent="0.3">
      <c r="A56" s="9"/>
      <c r="B56" s="9"/>
      <c r="C56" s="9"/>
      <c r="D56" s="9"/>
      <c r="E56" s="9"/>
      <c r="F56" s="9"/>
      <c r="G56" s="9"/>
      <c r="H56" s="9"/>
      <c r="I56" s="9"/>
      <c r="J56" s="9"/>
      <c r="K56" s="9"/>
      <c r="L56" s="9"/>
      <c r="M56" s="9"/>
      <c r="N56" s="9"/>
    </row>
    <row r="57" spans="1:14" x14ac:dyDescent="0.3">
      <c r="A57" s="9"/>
      <c r="B57" s="9"/>
      <c r="C57" s="9"/>
      <c r="D57" s="9"/>
      <c r="E57" s="9"/>
      <c r="F57" s="9"/>
      <c r="G57" s="9"/>
      <c r="H57" s="9"/>
      <c r="I57" s="9"/>
      <c r="J57" s="9"/>
      <c r="K57" s="9"/>
      <c r="L57" s="9"/>
      <c r="M57" s="9"/>
      <c r="N57" s="9"/>
    </row>
    <row r="58" spans="1:14" x14ac:dyDescent="0.3">
      <c r="A58" s="9"/>
      <c r="B58" s="9"/>
      <c r="C58" s="9"/>
      <c r="D58" s="9"/>
      <c r="E58" s="9"/>
      <c r="F58" s="9"/>
      <c r="G58" s="9"/>
      <c r="H58" s="9"/>
      <c r="I58" s="9"/>
      <c r="J58" s="9"/>
      <c r="K58" s="9"/>
      <c r="L58" s="9"/>
      <c r="M58" s="9"/>
      <c r="N58" s="9"/>
    </row>
    <row r="59" spans="1:14" x14ac:dyDescent="0.3">
      <c r="A59" s="9"/>
      <c r="B59" s="9"/>
      <c r="C59" s="9"/>
      <c r="D59" s="9"/>
      <c r="E59" s="9"/>
      <c r="F59" s="9"/>
      <c r="G59" s="9"/>
      <c r="H59" s="9"/>
      <c r="I59" s="9"/>
      <c r="J59" s="9"/>
      <c r="K59" s="9"/>
      <c r="L59" s="9"/>
      <c r="M59" s="9"/>
      <c r="N59" s="9"/>
    </row>
    <row r="60" spans="1:14" x14ac:dyDescent="0.3">
      <c r="A60" s="9"/>
      <c r="B60" s="9"/>
      <c r="C60" s="9"/>
      <c r="D60" s="9"/>
      <c r="E60" s="9"/>
      <c r="F60" s="9"/>
      <c r="G60" s="9"/>
      <c r="H60" s="9"/>
      <c r="I60" s="9"/>
      <c r="J60" s="9"/>
      <c r="K60" s="9"/>
      <c r="L60" s="9"/>
      <c r="M60" s="9"/>
      <c r="N60" s="9"/>
    </row>
    <row r="61" spans="1:14" x14ac:dyDescent="0.3">
      <c r="A61" s="9"/>
      <c r="B61" s="9"/>
      <c r="C61" s="9"/>
      <c r="D61" s="9"/>
      <c r="E61" s="9"/>
      <c r="F61" s="9"/>
      <c r="G61" s="9"/>
      <c r="H61" s="9"/>
      <c r="I61" s="9"/>
      <c r="J61" s="9"/>
      <c r="K61" s="9"/>
      <c r="L61" s="9"/>
      <c r="M61" s="9"/>
      <c r="N61" s="9"/>
    </row>
    <row r="62" spans="1:14" x14ac:dyDescent="0.3">
      <c r="A62" s="9"/>
      <c r="B62" s="9"/>
      <c r="C62" s="9"/>
      <c r="D62" s="9"/>
      <c r="E62" s="9"/>
      <c r="F62" s="9"/>
      <c r="G62" s="9"/>
      <c r="H62" s="9"/>
      <c r="I62" s="9"/>
      <c r="J62" s="9"/>
      <c r="K62" s="9"/>
      <c r="L62" s="9"/>
      <c r="M62" s="9"/>
      <c r="N62" s="9"/>
    </row>
    <row r="63" spans="1:14" x14ac:dyDescent="0.3">
      <c r="A63" s="9"/>
      <c r="B63" s="9"/>
      <c r="C63" s="9"/>
      <c r="D63" s="9"/>
      <c r="E63" s="9"/>
      <c r="F63" s="9"/>
      <c r="G63" s="9"/>
      <c r="H63" s="9"/>
      <c r="I63" s="9"/>
      <c r="J63" s="9"/>
      <c r="K63" s="9"/>
      <c r="L63" s="9"/>
      <c r="M63" s="9"/>
      <c r="N63" s="9"/>
    </row>
    <row r="64" spans="1:14" x14ac:dyDescent="0.3">
      <c r="A64" s="9"/>
      <c r="B64" s="9"/>
      <c r="C64" s="9"/>
      <c r="D64" s="9"/>
      <c r="E64" s="9"/>
      <c r="F64" s="9"/>
      <c r="G64" s="9"/>
      <c r="H64" s="9"/>
      <c r="I64" s="9"/>
      <c r="J64" s="9"/>
      <c r="K64" s="9"/>
      <c r="L64" s="9"/>
      <c r="M64" s="9"/>
      <c r="N64" s="9"/>
    </row>
    <row r="65" spans="1:14" x14ac:dyDescent="0.3">
      <c r="A65" s="9"/>
      <c r="B65" s="9"/>
      <c r="C65" s="9"/>
      <c r="D65" s="9"/>
      <c r="E65" s="9"/>
      <c r="F65" s="9"/>
      <c r="G65" s="9"/>
      <c r="H65" s="9"/>
      <c r="I65" s="9"/>
      <c r="J65" s="9"/>
      <c r="K65" s="9"/>
      <c r="L65" s="9"/>
      <c r="M65" s="9"/>
      <c r="N65" s="9"/>
    </row>
    <row r="66" spans="1:14" x14ac:dyDescent="0.3">
      <c r="A66" s="9"/>
      <c r="B66" s="9"/>
      <c r="C66" s="9"/>
      <c r="D66" s="9"/>
      <c r="E66" s="9"/>
      <c r="F66" s="9"/>
      <c r="G66" s="9"/>
      <c r="H66" s="9"/>
      <c r="I66" s="9"/>
      <c r="J66" s="9"/>
      <c r="K66" s="9"/>
      <c r="L66" s="9"/>
      <c r="M66" s="9"/>
      <c r="N66" s="9"/>
    </row>
    <row r="67" spans="1:14" x14ac:dyDescent="0.3">
      <c r="A67" s="9"/>
      <c r="B67" s="9"/>
      <c r="C67" s="9"/>
      <c r="D67" s="9"/>
      <c r="E67" s="9"/>
      <c r="F67" s="9"/>
      <c r="G67" s="9"/>
      <c r="H67" s="9"/>
      <c r="I67" s="9"/>
      <c r="J67" s="9"/>
      <c r="K67" s="9"/>
      <c r="L67" s="9"/>
      <c r="M67" s="9"/>
      <c r="N67" s="9"/>
    </row>
    <row r="68" spans="1:14" x14ac:dyDescent="0.3">
      <c r="A68" s="9"/>
      <c r="B68" s="9"/>
      <c r="C68" s="9"/>
      <c r="D68" s="9"/>
      <c r="E68" s="9"/>
      <c r="F68" s="9"/>
      <c r="G68" s="9"/>
      <c r="H68" s="9"/>
      <c r="I68" s="9"/>
      <c r="J68" s="9"/>
      <c r="K68" s="9"/>
      <c r="L68" s="9"/>
      <c r="M68" s="9"/>
      <c r="N68" s="9"/>
    </row>
    <row r="69" spans="1:14" x14ac:dyDescent="0.3">
      <c r="A69" s="9"/>
      <c r="B69" s="9"/>
      <c r="C69" s="9"/>
      <c r="D69" s="9"/>
      <c r="E69" s="9"/>
      <c r="F69" s="9"/>
      <c r="G69" s="9"/>
      <c r="H69" s="9"/>
      <c r="I69" s="9"/>
      <c r="J69" s="9"/>
      <c r="K69" s="9"/>
      <c r="L69" s="9"/>
      <c r="M69" s="9"/>
      <c r="N69" s="9"/>
    </row>
    <row r="70" spans="1:14" x14ac:dyDescent="0.3">
      <c r="A70" s="9"/>
      <c r="B70" s="9"/>
      <c r="C70" s="9"/>
      <c r="D70" s="9"/>
      <c r="E70" s="9"/>
      <c r="F70" s="9"/>
      <c r="G70" s="9"/>
      <c r="H70" s="9"/>
      <c r="I70" s="9"/>
      <c r="J70" s="9"/>
      <c r="K70" s="9"/>
      <c r="L70" s="9"/>
      <c r="M70" s="9"/>
      <c r="N70" s="9"/>
    </row>
    <row r="71" spans="1:14" x14ac:dyDescent="0.3">
      <c r="A71" s="9"/>
      <c r="B71" s="9"/>
      <c r="C71" s="9"/>
      <c r="D71" s="9"/>
      <c r="E71" s="9"/>
      <c r="F71" s="9"/>
      <c r="G71" s="9"/>
      <c r="H71" s="9"/>
      <c r="I71" s="9"/>
      <c r="J71" s="9"/>
      <c r="K71" s="9"/>
      <c r="L71" s="9"/>
      <c r="M71" s="9"/>
      <c r="N71" s="9"/>
    </row>
    <row r="72" spans="1:14" x14ac:dyDescent="0.3">
      <c r="A72" s="9"/>
      <c r="B72" s="9"/>
      <c r="C72" s="9"/>
      <c r="D72" s="9"/>
      <c r="E72" s="9"/>
      <c r="F72" s="9"/>
      <c r="G72" s="9"/>
      <c r="H72" s="9"/>
      <c r="I72" s="9"/>
      <c r="J72" s="9"/>
      <c r="K72" s="9"/>
      <c r="L72" s="9"/>
      <c r="M72" s="9"/>
      <c r="N72" s="9"/>
    </row>
    <row r="73" spans="1:14" x14ac:dyDescent="0.3">
      <c r="A73" s="9"/>
      <c r="B73" s="9"/>
      <c r="C73" s="9"/>
      <c r="D73" s="9"/>
      <c r="E73" s="9"/>
      <c r="F73" s="9"/>
      <c r="G73" s="9"/>
      <c r="H73" s="9"/>
      <c r="I73" s="9"/>
      <c r="J73" s="9"/>
      <c r="K73" s="9"/>
      <c r="L73" s="9"/>
      <c r="M73" s="9"/>
      <c r="N73" s="9"/>
    </row>
    <row r="74" spans="1:14" x14ac:dyDescent="0.3">
      <c r="A74" s="9"/>
      <c r="B74" s="9"/>
      <c r="C74" s="9"/>
      <c r="D74" s="9"/>
      <c r="E74" s="9"/>
      <c r="F74" s="9"/>
      <c r="G74" s="9"/>
      <c r="H74" s="9"/>
      <c r="I74" s="9"/>
      <c r="J74" s="9"/>
      <c r="K74" s="9"/>
      <c r="L74" s="9"/>
      <c r="M74" s="9"/>
      <c r="N74" s="9"/>
    </row>
    <row r="75" spans="1:14" x14ac:dyDescent="0.3">
      <c r="A75" s="9"/>
      <c r="B75" s="9"/>
      <c r="C75" s="9"/>
      <c r="D75" s="9"/>
      <c r="E75" s="9"/>
      <c r="F75" s="9"/>
      <c r="G75" s="9"/>
      <c r="H75" s="9"/>
      <c r="I75" s="9"/>
      <c r="J75" s="9"/>
      <c r="K75" s="9"/>
      <c r="L75" s="9"/>
      <c r="M75" s="9"/>
      <c r="N75" s="9"/>
    </row>
    <row r="76" spans="1:14" x14ac:dyDescent="0.3">
      <c r="A76" s="9"/>
      <c r="B76" s="9"/>
      <c r="C76" s="9"/>
      <c r="D76" s="9"/>
      <c r="E76" s="9"/>
      <c r="F76" s="9"/>
      <c r="G76" s="9"/>
      <c r="H76" s="9"/>
      <c r="I76" s="9"/>
      <c r="J76" s="9"/>
      <c r="K76" s="9"/>
      <c r="L76" s="9"/>
      <c r="M76" s="9"/>
      <c r="N76" s="9"/>
    </row>
    <row r="77" spans="1:14" x14ac:dyDescent="0.3">
      <c r="A77" s="9"/>
      <c r="B77" s="9"/>
      <c r="C77" s="9"/>
      <c r="D77" s="9"/>
      <c r="E77" s="9"/>
      <c r="F77" s="9"/>
      <c r="G77" s="9"/>
      <c r="H77" s="9"/>
      <c r="I77" s="9"/>
      <c r="J77" s="9"/>
      <c r="K77" s="9"/>
      <c r="L77" s="9"/>
      <c r="M77" s="9"/>
      <c r="N77" s="9"/>
    </row>
    <row r="78" spans="1:14" x14ac:dyDescent="0.3">
      <c r="A78" s="9"/>
      <c r="B78" s="9"/>
      <c r="C78" s="9"/>
      <c r="D78" s="9"/>
      <c r="E78" s="9"/>
      <c r="F78" s="9"/>
      <c r="G78" s="9"/>
      <c r="H78" s="9"/>
      <c r="I78" s="9"/>
      <c r="J78" s="9"/>
      <c r="K78" s="9"/>
      <c r="L78" s="9"/>
      <c r="M78" s="9"/>
      <c r="N78" s="9"/>
    </row>
    <row r="79" spans="1:14" x14ac:dyDescent="0.3">
      <c r="A79" s="9"/>
      <c r="B79" s="9"/>
      <c r="C79" s="9"/>
      <c r="D79" s="9"/>
      <c r="E79" s="9"/>
      <c r="F79" s="9"/>
      <c r="G79" s="9"/>
      <c r="H79" s="9"/>
      <c r="I79" s="9"/>
      <c r="J79" s="9"/>
      <c r="K79" s="9"/>
      <c r="L79" s="9"/>
      <c r="M79" s="9"/>
      <c r="N79" s="9"/>
    </row>
    <row r="80" spans="1:14" x14ac:dyDescent="0.3">
      <c r="A80" s="9"/>
      <c r="B80" s="9"/>
      <c r="C80" s="9"/>
      <c r="D80" s="9"/>
      <c r="E80" s="9"/>
      <c r="F80" s="9"/>
      <c r="G80" s="9"/>
      <c r="H80" s="9"/>
      <c r="I80" s="9"/>
      <c r="J80" s="9"/>
      <c r="K80" s="9"/>
      <c r="L80" s="9"/>
      <c r="M80" s="9"/>
      <c r="N80" s="9"/>
    </row>
    <row r="81" spans="1:14" x14ac:dyDescent="0.3">
      <c r="A81" s="9"/>
      <c r="B81" s="9"/>
      <c r="C81" s="9"/>
      <c r="D81" s="9"/>
      <c r="E81" s="9"/>
      <c r="F81" s="9"/>
      <c r="G81" s="9"/>
      <c r="H81" s="9"/>
      <c r="I81" s="9"/>
      <c r="J81" s="9"/>
      <c r="K81" s="9"/>
      <c r="L81" s="9"/>
      <c r="M81" s="9"/>
      <c r="N81" s="9"/>
    </row>
    <row r="82" spans="1:14" x14ac:dyDescent="0.3">
      <c r="A82" s="9"/>
      <c r="B82" s="9"/>
      <c r="C82" s="9"/>
      <c r="D82" s="9"/>
      <c r="E82" s="9"/>
      <c r="F82" s="9"/>
      <c r="G82" s="9"/>
      <c r="H82" s="9"/>
      <c r="I82" s="9"/>
      <c r="J82" s="9"/>
      <c r="K82" s="9"/>
      <c r="L82" s="9"/>
      <c r="M82" s="9"/>
      <c r="N82" s="9"/>
    </row>
    <row r="83" spans="1:14" x14ac:dyDescent="0.3">
      <c r="A83" s="9"/>
      <c r="B83" s="9"/>
      <c r="C83" s="9"/>
      <c r="D83" s="9"/>
      <c r="E83" s="9"/>
      <c r="F83" s="9"/>
      <c r="G83" s="9"/>
      <c r="H83" s="9"/>
      <c r="I83" s="9"/>
      <c r="J83" s="9"/>
      <c r="K83" s="9"/>
      <c r="L83" s="9"/>
      <c r="M83" s="9"/>
      <c r="N83" s="9"/>
    </row>
    <row r="84" spans="1:14" x14ac:dyDescent="0.3">
      <c r="A84" s="9"/>
      <c r="B84" s="9"/>
      <c r="C84" s="9"/>
      <c r="D84" s="9"/>
      <c r="E84" s="9"/>
      <c r="F84" s="9"/>
      <c r="G84" s="9"/>
      <c r="H84" s="9"/>
      <c r="I84" s="9"/>
      <c r="J84" s="9"/>
      <c r="K84" s="9"/>
      <c r="L84" s="9"/>
      <c r="M84" s="9"/>
      <c r="N84" s="9"/>
    </row>
    <row r="85" spans="1:14" x14ac:dyDescent="0.3">
      <c r="A85" s="9"/>
      <c r="B85" s="9"/>
      <c r="C85" s="9"/>
      <c r="D85" s="9"/>
      <c r="E85" s="9"/>
      <c r="F85" s="9"/>
      <c r="G85" s="9"/>
      <c r="H85" s="9"/>
      <c r="I85" s="9"/>
      <c r="J85" s="9"/>
      <c r="K85" s="9"/>
      <c r="L85" s="9"/>
      <c r="M85" s="9"/>
      <c r="N85" s="9"/>
    </row>
    <row r="86" spans="1:14" x14ac:dyDescent="0.3">
      <c r="A86" s="9"/>
      <c r="B86" s="9"/>
      <c r="C86" s="9"/>
      <c r="D86" s="9"/>
      <c r="E86" s="9"/>
      <c r="F86" s="9"/>
      <c r="G86" s="9"/>
      <c r="H86" s="9"/>
      <c r="I86" s="9"/>
      <c r="J86" s="9"/>
      <c r="K86" s="9"/>
      <c r="L86" s="9"/>
      <c r="M86" s="9"/>
      <c r="N86" s="9"/>
    </row>
    <row r="87" spans="1:14" x14ac:dyDescent="0.3">
      <c r="A87" s="9"/>
      <c r="B87" s="9"/>
      <c r="C87" s="9"/>
      <c r="D87" s="9"/>
      <c r="E87" s="9"/>
      <c r="F87" s="9"/>
      <c r="G87" s="9"/>
      <c r="H87" s="9"/>
      <c r="I87" s="9"/>
      <c r="J87" s="9"/>
      <c r="K87" s="9"/>
      <c r="L87" s="9"/>
      <c r="M87" s="9"/>
      <c r="N87" s="9"/>
    </row>
    <row r="88" spans="1:14" x14ac:dyDescent="0.3">
      <c r="A88" s="9"/>
      <c r="B88" s="9"/>
      <c r="C88" s="9"/>
      <c r="D88" s="9"/>
      <c r="E88" s="9"/>
      <c r="F88" s="9"/>
      <c r="G88" s="9"/>
      <c r="H88" s="9"/>
      <c r="I88" s="9"/>
      <c r="J88" s="9"/>
      <c r="K88" s="9"/>
      <c r="L88" s="9"/>
      <c r="M88" s="9"/>
      <c r="N88" s="9"/>
    </row>
    <row r="89" spans="1:14" x14ac:dyDescent="0.3">
      <c r="A89" s="9"/>
      <c r="B89" s="9"/>
      <c r="C89" s="9"/>
      <c r="D89" s="9"/>
      <c r="E89" s="9"/>
      <c r="F89" s="9"/>
      <c r="G89" s="9"/>
      <c r="H89" s="9"/>
      <c r="I89" s="9"/>
      <c r="J89" s="9"/>
      <c r="K89" s="9"/>
      <c r="L89" s="9"/>
      <c r="M89" s="9"/>
      <c r="N89" s="9"/>
    </row>
    <row r="90" spans="1:14" x14ac:dyDescent="0.3">
      <c r="A90" s="9"/>
      <c r="B90" s="9"/>
      <c r="C90" s="9"/>
      <c r="D90" s="9"/>
      <c r="E90" s="9"/>
      <c r="F90" s="9"/>
      <c r="G90" s="9"/>
      <c r="H90" s="9"/>
      <c r="I90" s="9"/>
      <c r="J90" s="9"/>
      <c r="K90" s="9"/>
      <c r="L90" s="9"/>
      <c r="M90" s="9"/>
      <c r="N90" s="9"/>
    </row>
    <row r="91" spans="1:14" x14ac:dyDescent="0.3">
      <c r="A91" s="9"/>
      <c r="B91" s="9"/>
      <c r="C91" s="9"/>
      <c r="D91" s="9"/>
      <c r="E91" s="9"/>
      <c r="F91" s="9"/>
      <c r="G91" s="9"/>
      <c r="H91" s="9"/>
      <c r="I91" s="9"/>
      <c r="J91" s="9"/>
      <c r="K91" s="9"/>
      <c r="L91" s="9"/>
      <c r="M91" s="9"/>
      <c r="N91" s="9"/>
    </row>
    <row r="92" spans="1:14" x14ac:dyDescent="0.3">
      <c r="A92" s="9"/>
      <c r="B92" s="9"/>
      <c r="C92" s="9"/>
      <c r="D92" s="9"/>
      <c r="E92" s="9"/>
      <c r="F92" s="9"/>
      <c r="G92" s="9"/>
      <c r="H92" s="9"/>
      <c r="I92" s="9"/>
      <c r="J92" s="9"/>
      <c r="K92" s="9"/>
      <c r="L92" s="9"/>
      <c r="M92" s="9"/>
      <c r="N92" s="9"/>
    </row>
    <row r="93" spans="1:14" x14ac:dyDescent="0.3">
      <c r="A93" s="9"/>
      <c r="B93" s="9"/>
      <c r="C93" s="9"/>
      <c r="D93" s="9"/>
      <c r="E93" s="9"/>
      <c r="F93" s="9"/>
      <c r="G93" s="9"/>
      <c r="H93" s="9"/>
      <c r="I93" s="9"/>
      <c r="J93" s="9"/>
      <c r="K93" s="9"/>
      <c r="L93" s="9"/>
      <c r="M93" s="9"/>
      <c r="N93" s="9"/>
    </row>
    <row r="94" spans="1:14" x14ac:dyDescent="0.3">
      <c r="A94" s="9"/>
      <c r="B94" s="9"/>
      <c r="C94" s="9"/>
      <c r="D94" s="9"/>
      <c r="E94" s="9"/>
      <c r="F94" s="9"/>
      <c r="G94" s="9"/>
      <c r="H94" s="9"/>
      <c r="I94" s="9"/>
      <c r="J94" s="9"/>
      <c r="K94" s="9"/>
      <c r="L94" s="9"/>
      <c r="M94" s="9"/>
      <c r="N94" s="9"/>
    </row>
    <row r="95" spans="1:14" x14ac:dyDescent="0.3">
      <c r="A95" s="9"/>
      <c r="B95" s="9"/>
      <c r="C95" s="9"/>
      <c r="D95" s="9"/>
      <c r="E95" s="9"/>
      <c r="F95" s="9"/>
      <c r="G95" s="9"/>
      <c r="H95" s="9"/>
      <c r="I95" s="9"/>
      <c r="J95" s="9"/>
      <c r="K95" s="9"/>
      <c r="L95" s="9"/>
      <c r="M95" s="9"/>
      <c r="N95" s="9"/>
    </row>
    <row r="96" spans="1:14" x14ac:dyDescent="0.3">
      <c r="A96" s="9"/>
      <c r="B96" s="9"/>
      <c r="C96" s="9"/>
      <c r="D96" s="9"/>
      <c r="E96" s="9"/>
      <c r="F96" s="9"/>
      <c r="G96" s="9"/>
      <c r="H96" s="9"/>
      <c r="I96" s="9"/>
      <c r="J96" s="9"/>
      <c r="K96" s="9"/>
      <c r="L96" s="9"/>
      <c r="M96" s="9"/>
      <c r="N96" s="9"/>
    </row>
    <row r="97" spans="1:14" x14ac:dyDescent="0.3">
      <c r="A97" s="9"/>
      <c r="B97" s="9"/>
      <c r="C97" s="9"/>
      <c r="D97" s="9"/>
      <c r="E97" s="9"/>
      <c r="F97" s="9"/>
      <c r="G97" s="9"/>
      <c r="H97" s="9"/>
      <c r="I97" s="9"/>
      <c r="J97" s="9"/>
      <c r="K97" s="9"/>
      <c r="L97" s="9"/>
      <c r="M97" s="9"/>
      <c r="N97" s="9"/>
    </row>
    <row r="98" spans="1:14" x14ac:dyDescent="0.3">
      <c r="A98" s="9"/>
      <c r="B98" s="9"/>
      <c r="C98" s="9"/>
      <c r="D98" s="9"/>
      <c r="E98" s="9"/>
      <c r="F98" s="9"/>
      <c r="G98" s="9"/>
      <c r="H98" s="9"/>
      <c r="I98" s="9"/>
      <c r="J98" s="9"/>
      <c r="K98" s="9"/>
      <c r="L98" s="9"/>
      <c r="M98" s="9"/>
      <c r="N98" s="9"/>
    </row>
    <row r="99" spans="1:14" x14ac:dyDescent="0.3">
      <c r="A99" s="9"/>
      <c r="B99" s="9"/>
      <c r="C99" s="9"/>
      <c r="D99" s="9"/>
      <c r="E99" s="9"/>
      <c r="F99" s="9"/>
      <c r="G99" s="9"/>
      <c r="H99" s="9"/>
      <c r="I99" s="9"/>
      <c r="J99" s="9"/>
      <c r="K99" s="9"/>
      <c r="L99" s="9"/>
      <c r="M99" s="9"/>
      <c r="N99" s="9"/>
    </row>
    <row r="100" spans="1:14" x14ac:dyDescent="0.3">
      <c r="A100" s="9"/>
      <c r="B100" s="9"/>
      <c r="C100" s="9"/>
      <c r="D100" s="9"/>
      <c r="E100" s="9"/>
      <c r="F100" s="9"/>
      <c r="G100" s="9"/>
      <c r="H100" s="9"/>
      <c r="I100" s="9"/>
      <c r="J100" s="9"/>
      <c r="K100" s="9"/>
      <c r="L100" s="9"/>
      <c r="M100" s="9"/>
      <c r="N100" s="9"/>
    </row>
    <row r="101" spans="1:14" x14ac:dyDescent="0.3">
      <c r="A101" s="9"/>
      <c r="B101" s="9"/>
      <c r="C101" s="9"/>
      <c r="D101" s="9"/>
      <c r="E101" s="9"/>
      <c r="F101" s="9"/>
      <c r="G101" s="9"/>
      <c r="H101" s="9"/>
      <c r="I101" s="9"/>
      <c r="J101" s="9"/>
      <c r="K101" s="9"/>
      <c r="L101" s="9"/>
      <c r="M101" s="9"/>
      <c r="N101" s="9"/>
    </row>
    <row r="102" spans="1:14" x14ac:dyDescent="0.3">
      <c r="A102" s="9"/>
      <c r="B102" s="9"/>
      <c r="C102" s="9"/>
      <c r="D102" s="9"/>
      <c r="E102" s="9"/>
      <c r="F102" s="9"/>
      <c r="G102" s="9"/>
      <c r="H102" s="9"/>
      <c r="I102" s="9"/>
      <c r="J102" s="9"/>
      <c r="K102" s="9"/>
      <c r="L102" s="9"/>
      <c r="M102" s="9"/>
      <c r="N102" s="9"/>
    </row>
    <row r="103" spans="1:14" x14ac:dyDescent="0.3">
      <c r="A103" s="9"/>
      <c r="B103" s="9"/>
      <c r="C103" s="9"/>
      <c r="D103" s="9"/>
      <c r="E103" s="9"/>
      <c r="F103" s="9"/>
      <c r="G103" s="9"/>
      <c r="H103" s="9"/>
      <c r="I103" s="9"/>
      <c r="J103" s="9"/>
      <c r="K103" s="9"/>
      <c r="L103" s="9"/>
      <c r="M103" s="9"/>
      <c r="N103" s="9"/>
    </row>
    <row r="104" spans="1:14" x14ac:dyDescent="0.3">
      <c r="A104" s="9"/>
      <c r="B104" s="9"/>
      <c r="C104" s="9"/>
      <c r="D104" s="9"/>
      <c r="E104" s="9"/>
      <c r="F104" s="9"/>
      <c r="G104" s="9"/>
      <c r="H104" s="9"/>
      <c r="I104" s="9"/>
      <c r="J104" s="9"/>
      <c r="K104" s="9"/>
      <c r="L104" s="9"/>
      <c r="M104" s="9"/>
      <c r="N104" s="9"/>
    </row>
    <row r="105" spans="1:14" x14ac:dyDescent="0.3">
      <c r="A105" s="9"/>
      <c r="B105" s="9"/>
      <c r="C105" s="9"/>
      <c r="D105" s="9"/>
      <c r="E105" s="9"/>
      <c r="F105" s="9"/>
      <c r="G105" s="9"/>
      <c r="H105" s="9"/>
      <c r="I105" s="9"/>
      <c r="J105" s="9"/>
      <c r="K105" s="9"/>
      <c r="L105" s="9"/>
      <c r="M105" s="9"/>
      <c r="N105" s="9"/>
    </row>
    <row r="106" spans="1:14" x14ac:dyDescent="0.3">
      <c r="A106" s="9"/>
      <c r="B106" s="9"/>
      <c r="C106" s="9"/>
      <c r="D106" s="9"/>
      <c r="E106" s="9"/>
      <c r="F106" s="9"/>
      <c r="G106" s="9"/>
      <c r="H106" s="9"/>
      <c r="I106" s="9"/>
      <c r="J106" s="9"/>
      <c r="K106" s="9"/>
      <c r="L106" s="9"/>
      <c r="M106" s="9"/>
      <c r="N106" s="9"/>
    </row>
    <row r="107" spans="1:14" x14ac:dyDescent="0.3">
      <c r="A107" s="9"/>
      <c r="B107" s="9"/>
      <c r="C107" s="9"/>
      <c r="D107" s="9"/>
      <c r="E107" s="9"/>
      <c r="F107" s="9"/>
      <c r="G107" s="9"/>
      <c r="H107" s="9"/>
      <c r="I107" s="9"/>
      <c r="J107" s="9"/>
      <c r="K107" s="9"/>
      <c r="L107" s="9"/>
      <c r="M107" s="9"/>
      <c r="N107" s="9"/>
    </row>
    <row r="108" spans="1:14" x14ac:dyDescent="0.3">
      <c r="A108" s="9"/>
      <c r="B108" s="9"/>
      <c r="C108" s="9"/>
      <c r="D108" s="9"/>
      <c r="E108" s="9"/>
      <c r="F108" s="9"/>
      <c r="G108" s="9"/>
      <c r="H108" s="9"/>
      <c r="I108" s="9"/>
      <c r="J108" s="9"/>
      <c r="K108" s="9"/>
      <c r="L108" s="9"/>
      <c r="M108" s="9"/>
      <c r="N108" s="9"/>
    </row>
    <row r="109" spans="1:14" x14ac:dyDescent="0.3">
      <c r="A109" s="9"/>
      <c r="B109" s="9"/>
      <c r="C109" s="9"/>
      <c r="D109" s="9"/>
      <c r="E109" s="9"/>
      <c r="F109" s="9"/>
      <c r="G109" s="9"/>
      <c r="H109" s="9"/>
      <c r="I109" s="9"/>
      <c r="J109" s="9"/>
      <c r="K109" s="9"/>
      <c r="L109" s="9"/>
      <c r="M109" s="9"/>
      <c r="N109" s="9"/>
    </row>
    <row r="110" spans="1:14" x14ac:dyDescent="0.3">
      <c r="A110" s="9"/>
      <c r="B110" s="9"/>
      <c r="C110" s="9"/>
      <c r="D110" s="9"/>
      <c r="E110" s="9"/>
      <c r="F110" s="9"/>
      <c r="G110" s="9"/>
      <c r="H110" s="9"/>
      <c r="I110" s="9"/>
      <c r="J110" s="9"/>
      <c r="K110" s="9"/>
      <c r="L110" s="9"/>
      <c r="M110" s="9"/>
      <c r="N110" s="9"/>
    </row>
    <row r="111" spans="1:14" x14ac:dyDescent="0.3">
      <c r="A111" s="9"/>
      <c r="B111" s="9"/>
      <c r="C111" s="9"/>
      <c r="D111" s="9"/>
      <c r="E111" s="9"/>
      <c r="F111" s="9"/>
      <c r="G111" s="9"/>
      <c r="H111" s="9"/>
      <c r="I111" s="9"/>
      <c r="J111" s="9"/>
      <c r="K111" s="9"/>
      <c r="L111" s="9"/>
      <c r="M111" s="9"/>
      <c r="N111" s="9"/>
    </row>
    <row r="112" spans="1:14" x14ac:dyDescent="0.3">
      <c r="A112" s="9"/>
      <c r="B112" s="9"/>
      <c r="C112" s="9"/>
      <c r="D112" s="9"/>
      <c r="E112" s="9"/>
      <c r="F112" s="9"/>
      <c r="G112" s="9"/>
      <c r="H112" s="9"/>
      <c r="I112" s="9"/>
      <c r="J112" s="9"/>
      <c r="K112" s="9"/>
      <c r="L112" s="9"/>
      <c r="M112" s="9"/>
      <c r="N112" s="9"/>
    </row>
    <row r="113" spans="1:14" x14ac:dyDescent="0.3">
      <c r="A113" s="9"/>
      <c r="B113" s="9"/>
      <c r="C113" s="9"/>
      <c r="D113" s="9"/>
      <c r="E113" s="9"/>
      <c r="F113" s="9"/>
      <c r="G113" s="9"/>
      <c r="H113" s="9"/>
      <c r="I113" s="9"/>
      <c r="J113" s="9"/>
      <c r="K113" s="9"/>
      <c r="L113" s="9"/>
      <c r="M113" s="9"/>
      <c r="N113" s="9"/>
    </row>
    <row r="114" spans="1:14" x14ac:dyDescent="0.3">
      <c r="A114" s="9"/>
      <c r="B114" s="9"/>
      <c r="C114" s="9"/>
      <c r="D114" s="9"/>
      <c r="E114" s="9"/>
      <c r="F114" s="9"/>
      <c r="G114" s="9"/>
      <c r="H114" s="9"/>
      <c r="I114" s="9"/>
      <c r="J114" s="9"/>
      <c r="K114" s="9"/>
      <c r="L114" s="9"/>
      <c r="M114" s="9"/>
      <c r="N114" s="9"/>
    </row>
    <row r="115" spans="1:14" x14ac:dyDescent="0.3">
      <c r="A115" s="9"/>
      <c r="B115" s="9"/>
      <c r="C115" s="9"/>
      <c r="D115" s="9"/>
      <c r="E115" s="9"/>
      <c r="F115" s="9"/>
      <c r="G115" s="9"/>
      <c r="H115" s="9"/>
      <c r="I115" s="9"/>
      <c r="J115" s="9"/>
      <c r="K115" s="9"/>
      <c r="L115" s="9"/>
      <c r="M115" s="9"/>
      <c r="N115" s="9"/>
    </row>
    <row r="116" spans="1:14" x14ac:dyDescent="0.3">
      <c r="A116" s="9"/>
      <c r="B116" s="9"/>
      <c r="C116" s="9"/>
      <c r="D116" s="9"/>
      <c r="E116" s="9"/>
      <c r="F116" s="9"/>
      <c r="G116" s="9"/>
      <c r="H116" s="9"/>
      <c r="I116" s="9"/>
      <c r="J116" s="9"/>
      <c r="K116" s="9"/>
      <c r="L116" s="9"/>
      <c r="M116" s="9"/>
      <c r="N116" s="9"/>
    </row>
    <row r="117" spans="1:14" x14ac:dyDescent="0.3">
      <c r="A117" s="9"/>
      <c r="B117" s="9"/>
      <c r="C117" s="9"/>
      <c r="D117" s="9"/>
      <c r="E117" s="9"/>
      <c r="F117" s="9"/>
      <c r="G117" s="9"/>
      <c r="H117" s="9"/>
      <c r="I117" s="9"/>
      <c r="J117" s="9"/>
      <c r="K117" s="9"/>
      <c r="L117" s="9"/>
      <c r="M117" s="9"/>
      <c r="N117" s="9"/>
    </row>
    <row r="118" spans="1:14" x14ac:dyDescent="0.3">
      <c r="A118" s="9"/>
      <c r="B118" s="9"/>
      <c r="C118" s="9"/>
      <c r="D118" s="9"/>
      <c r="E118" s="9"/>
      <c r="F118" s="9"/>
      <c r="G118" s="9"/>
      <c r="H118" s="9"/>
      <c r="I118" s="9"/>
      <c r="J118" s="9"/>
      <c r="K118" s="9"/>
      <c r="L118" s="9"/>
      <c r="M118" s="9"/>
      <c r="N118" s="9"/>
    </row>
    <row r="119" spans="1:14" x14ac:dyDescent="0.3">
      <c r="A119" s="9"/>
      <c r="B119" s="9"/>
      <c r="C119" s="9"/>
      <c r="D119" s="9"/>
      <c r="E119" s="9"/>
      <c r="F119" s="9"/>
      <c r="G119" s="9"/>
      <c r="H119" s="9"/>
      <c r="I119" s="9"/>
      <c r="J119" s="9"/>
      <c r="K119" s="9"/>
      <c r="L119" s="9"/>
      <c r="M119" s="9"/>
      <c r="N119" s="9"/>
    </row>
    <row r="120" spans="1:14" x14ac:dyDescent="0.3">
      <c r="A120" s="9"/>
      <c r="B120" s="9"/>
      <c r="C120" s="9"/>
      <c r="D120" s="9"/>
      <c r="E120" s="9"/>
      <c r="F120" s="9"/>
      <c r="G120" s="9"/>
      <c r="H120" s="9"/>
      <c r="I120" s="9"/>
      <c r="J120" s="9"/>
      <c r="K120" s="9"/>
      <c r="L120" s="9"/>
      <c r="M120" s="9"/>
      <c r="N120" s="9"/>
    </row>
    <row r="121" spans="1:14" x14ac:dyDescent="0.3">
      <c r="A121" s="9"/>
      <c r="B121" s="9"/>
      <c r="C121" s="9"/>
      <c r="D121" s="9"/>
      <c r="E121" s="9"/>
      <c r="F121" s="9"/>
      <c r="G121" s="9"/>
      <c r="H121" s="9"/>
      <c r="I121" s="9"/>
      <c r="J121" s="9"/>
      <c r="K121" s="9"/>
      <c r="L121" s="9"/>
      <c r="M121" s="9"/>
      <c r="N121" s="9"/>
    </row>
    <row r="122" spans="1:14" x14ac:dyDescent="0.3">
      <c r="A122" s="9"/>
      <c r="B122" s="9"/>
      <c r="C122" s="9"/>
      <c r="D122" s="9"/>
      <c r="E122" s="9"/>
      <c r="F122" s="9"/>
      <c r="G122" s="9"/>
      <c r="H122" s="9"/>
      <c r="I122" s="9"/>
      <c r="J122" s="9"/>
      <c r="K122" s="9"/>
      <c r="L122" s="9"/>
      <c r="M122" s="9"/>
      <c r="N122" s="9"/>
    </row>
    <row r="123" spans="1:14" x14ac:dyDescent="0.3">
      <c r="A123" s="9"/>
      <c r="B123" s="9"/>
      <c r="C123" s="9"/>
      <c r="D123" s="9"/>
      <c r="E123" s="9"/>
      <c r="F123" s="9"/>
      <c r="G123" s="9"/>
      <c r="H123" s="9"/>
      <c r="I123" s="9"/>
      <c r="J123" s="9"/>
      <c r="K123" s="9"/>
      <c r="L123" s="9"/>
      <c r="M123" s="9"/>
      <c r="N123" s="9"/>
    </row>
    <row r="124" spans="1:14" x14ac:dyDescent="0.3">
      <c r="A124" s="9"/>
      <c r="B124" s="9"/>
      <c r="C124" s="9"/>
      <c r="D124" s="9"/>
      <c r="E124" s="9"/>
      <c r="F124" s="9"/>
      <c r="G124" s="9"/>
      <c r="H124" s="9"/>
      <c r="I124" s="9"/>
      <c r="J124" s="9"/>
      <c r="K124" s="9"/>
      <c r="L124" s="9"/>
      <c r="M124" s="9"/>
      <c r="N124" s="9"/>
    </row>
    <row r="125" spans="1:14" x14ac:dyDescent="0.3">
      <c r="A125" s="9"/>
      <c r="B125" s="9"/>
      <c r="C125" s="9"/>
      <c r="D125" s="9"/>
      <c r="E125" s="9"/>
      <c r="F125" s="9"/>
      <c r="G125" s="9"/>
      <c r="H125" s="9"/>
      <c r="I125" s="9"/>
      <c r="J125" s="9"/>
      <c r="K125" s="9"/>
      <c r="L125" s="9"/>
      <c r="M125" s="9"/>
      <c r="N125" s="9"/>
    </row>
    <row r="126" spans="1:14" x14ac:dyDescent="0.3">
      <c r="A126" s="9"/>
      <c r="B126" s="9"/>
      <c r="C126" s="9"/>
      <c r="D126" s="9"/>
      <c r="E126" s="9"/>
      <c r="F126" s="9"/>
      <c r="G126" s="9"/>
      <c r="H126" s="9"/>
      <c r="I126" s="9"/>
      <c r="J126" s="9"/>
      <c r="K126" s="9"/>
      <c r="L126" s="9"/>
      <c r="M126" s="9"/>
      <c r="N126" s="9"/>
    </row>
    <row r="127" spans="1:14" x14ac:dyDescent="0.3">
      <c r="A127" s="9"/>
      <c r="B127" s="9"/>
      <c r="C127" s="9"/>
      <c r="D127" s="9"/>
      <c r="E127" s="9"/>
      <c r="F127" s="9"/>
      <c r="G127" s="9"/>
      <c r="H127" s="9"/>
      <c r="I127" s="9"/>
      <c r="J127" s="9"/>
      <c r="K127" s="9"/>
      <c r="L127" s="9"/>
      <c r="M127" s="9"/>
      <c r="N127" s="9"/>
    </row>
    <row r="128" spans="1:14" x14ac:dyDescent="0.3">
      <c r="A128" s="9"/>
      <c r="B128" s="9"/>
      <c r="C128" s="9"/>
      <c r="D128" s="9"/>
      <c r="E128" s="9"/>
      <c r="F128" s="9"/>
      <c r="G128" s="9"/>
      <c r="H128" s="9"/>
      <c r="I128" s="9"/>
      <c r="J128" s="9"/>
      <c r="K128" s="9"/>
      <c r="L128" s="9"/>
      <c r="M128" s="9"/>
      <c r="N128" s="9"/>
    </row>
    <row r="129" spans="1:14" x14ac:dyDescent="0.3">
      <c r="A129" s="9"/>
      <c r="B129" s="9"/>
      <c r="C129" s="9"/>
      <c r="D129" s="9"/>
      <c r="E129" s="9"/>
      <c r="F129" s="9"/>
      <c r="G129" s="9"/>
      <c r="H129" s="9"/>
      <c r="I129" s="9"/>
      <c r="J129" s="9"/>
      <c r="K129" s="9"/>
      <c r="L129" s="9"/>
      <c r="M129" s="9"/>
      <c r="N129" s="9"/>
    </row>
    <row r="130" spans="1:14" x14ac:dyDescent="0.3">
      <c r="A130" s="9"/>
      <c r="B130" s="9"/>
      <c r="C130" s="9"/>
      <c r="D130" s="9"/>
      <c r="E130" s="9"/>
      <c r="F130" s="9"/>
      <c r="G130" s="9"/>
      <c r="H130" s="9"/>
      <c r="I130" s="9"/>
      <c r="J130" s="9"/>
      <c r="K130" s="9"/>
      <c r="L130" s="9"/>
      <c r="M130" s="9"/>
      <c r="N130" s="9"/>
    </row>
    <row r="131" spans="1:14" x14ac:dyDescent="0.3">
      <c r="A131" s="9"/>
      <c r="B131" s="9"/>
      <c r="C131" s="9"/>
      <c r="D131" s="9"/>
      <c r="E131" s="9"/>
      <c r="F131" s="9"/>
      <c r="G131" s="9"/>
      <c r="H131" s="9"/>
      <c r="I131" s="9"/>
      <c r="J131" s="9"/>
      <c r="K131" s="9"/>
      <c r="L131" s="9"/>
      <c r="M131" s="9"/>
      <c r="N131" s="9"/>
    </row>
    <row r="132" spans="1:14" x14ac:dyDescent="0.3">
      <c r="A132" s="9"/>
      <c r="B132" s="9"/>
      <c r="C132" s="9"/>
      <c r="D132" s="9"/>
      <c r="E132" s="9"/>
      <c r="F132" s="9"/>
      <c r="G132" s="9"/>
      <c r="H132" s="9"/>
      <c r="I132" s="9"/>
      <c r="J132" s="9"/>
      <c r="K132" s="9"/>
      <c r="L132" s="9"/>
      <c r="M132" s="9"/>
      <c r="N132" s="9"/>
    </row>
    <row r="133" spans="1:14" x14ac:dyDescent="0.3">
      <c r="A133" s="9"/>
      <c r="B133" s="9"/>
      <c r="C133" s="9"/>
      <c r="D133" s="9"/>
      <c r="E133" s="9"/>
      <c r="F133" s="9"/>
      <c r="G133" s="9"/>
      <c r="H133" s="9"/>
      <c r="I133" s="9"/>
      <c r="J133" s="9"/>
      <c r="K133" s="9"/>
      <c r="L133" s="9"/>
      <c r="M133" s="9"/>
      <c r="N133" s="9"/>
    </row>
    <row r="134" spans="1:14" x14ac:dyDescent="0.3">
      <c r="A134" s="9"/>
      <c r="B134" s="9"/>
      <c r="C134" s="9"/>
      <c r="D134" s="9"/>
      <c r="E134" s="9"/>
      <c r="F134" s="9"/>
      <c r="G134" s="9"/>
      <c r="H134" s="9"/>
      <c r="I134" s="9"/>
      <c r="J134" s="9"/>
      <c r="K134" s="9"/>
      <c r="L134" s="9"/>
      <c r="M134" s="9"/>
      <c r="N134" s="9"/>
    </row>
    <row r="135" spans="1:14" x14ac:dyDescent="0.3">
      <c r="A135" s="9"/>
      <c r="B135" s="9"/>
      <c r="C135" s="9"/>
      <c r="D135" s="9"/>
      <c r="E135" s="9"/>
      <c r="F135" s="9"/>
      <c r="G135" s="9"/>
      <c r="H135" s="9"/>
      <c r="I135" s="9"/>
      <c r="J135" s="9"/>
      <c r="K135" s="9"/>
      <c r="L135" s="9"/>
      <c r="M135" s="9"/>
      <c r="N135" s="9"/>
    </row>
    <row r="136" spans="1:14" x14ac:dyDescent="0.3">
      <c r="A136" s="9"/>
      <c r="B136" s="9"/>
      <c r="C136" s="9"/>
      <c r="D136" s="9"/>
      <c r="E136" s="9"/>
      <c r="F136" s="9"/>
      <c r="G136" s="9"/>
      <c r="H136" s="9"/>
      <c r="I136" s="9"/>
      <c r="J136" s="9"/>
      <c r="K136" s="9"/>
      <c r="L136" s="9"/>
      <c r="M136" s="9"/>
      <c r="N136" s="9"/>
    </row>
    <row r="137" spans="1:14" x14ac:dyDescent="0.3">
      <c r="A137" s="9"/>
      <c r="B137" s="9"/>
      <c r="C137" s="9"/>
      <c r="D137" s="9"/>
      <c r="E137" s="9"/>
      <c r="F137" s="9"/>
      <c r="G137" s="9"/>
      <c r="H137" s="9"/>
      <c r="I137" s="9"/>
      <c r="J137" s="9"/>
      <c r="K137" s="9"/>
      <c r="L137" s="9"/>
      <c r="M137" s="9"/>
      <c r="N137" s="9"/>
    </row>
    <row r="138" spans="1:14" x14ac:dyDescent="0.3">
      <c r="A138" s="9"/>
      <c r="B138" s="9"/>
      <c r="C138" s="9"/>
      <c r="D138" s="9"/>
      <c r="E138" s="9"/>
      <c r="F138" s="9"/>
      <c r="G138" s="9"/>
      <c r="H138" s="9"/>
      <c r="I138" s="9"/>
      <c r="J138" s="9"/>
      <c r="K138" s="9"/>
      <c r="L138" s="9"/>
      <c r="M138" s="9"/>
      <c r="N138" s="9"/>
    </row>
    <row r="139" spans="1:14" x14ac:dyDescent="0.3">
      <c r="A139" s="9"/>
      <c r="B139" s="9"/>
      <c r="C139" s="9"/>
      <c r="D139" s="9"/>
      <c r="E139" s="9"/>
      <c r="F139" s="9"/>
      <c r="G139" s="9"/>
      <c r="H139" s="9"/>
      <c r="I139" s="9"/>
      <c r="J139" s="9"/>
      <c r="K139" s="9"/>
      <c r="L139" s="9"/>
      <c r="M139" s="9"/>
      <c r="N139" s="9"/>
    </row>
    <row r="140" spans="1:14" x14ac:dyDescent="0.3">
      <c r="A140" s="9"/>
      <c r="B140" s="9"/>
      <c r="C140" s="9"/>
      <c r="D140" s="9"/>
      <c r="E140" s="9"/>
      <c r="F140" s="9"/>
      <c r="G140" s="9"/>
      <c r="H140" s="9"/>
      <c r="I140" s="9"/>
      <c r="J140" s="9"/>
      <c r="K140" s="9"/>
      <c r="L140" s="9"/>
      <c r="M140" s="9"/>
      <c r="N140" s="9"/>
    </row>
    <row r="141" spans="1:14" x14ac:dyDescent="0.3">
      <c r="A141" s="9"/>
      <c r="B141" s="9"/>
      <c r="C141" s="9"/>
      <c r="D141" s="9"/>
      <c r="E141" s="9"/>
      <c r="F141" s="9"/>
      <c r="G141" s="9"/>
      <c r="H141" s="9"/>
      <c r="I141" s="9"/>
      <c r="J141" s="9"/>
      <c r="K141" s="9"/>
      <c r="L141" s="9"/>
      <c r="M141" s="9"/>
      <c r="N141" s="9"/>
    </row>
    <row r="142" spans="1:14" x14ac:dyDescent="0.3">
      <c r="A142" s="9"/>
      <c r="B142" s="9"/>
      <c r="C142" s="9"/>
      <c r="D142" s="9"/>
      <c r="E142" s="9"/>
      <c r="F142" s="9"/>
      <c r="G142" s="9"/>
      <c r="H142" s="9"/>
      <c r="I142" s="9"/>
      <c r="J142" s="9"/>
      <c r="K142" s="9"/>
      <c r="L142" s="9"/>
      <c r="M142" s="9"/>
      <c r="N142" s="9"/>
    </row>
    <row r="143" spans="1:14" x14ac:dyDescent="0.3">
      <c r="A143" s="9"/>
      <c r="B143" s="9"/>
      <c r="C143" s="9"/>
      <c r="D143" s="9"/>
      <c r="E143" s="9"/>
      <c r="F143" s="9"/>
      <c r="G143" s="9"/>
      <c r="H143" s="9"/>
      <c r="I143" s="9"/>
      <c r="J143" s="9"/>
      <c r="K143" s="9"/>
      <c r="L143" s="9"/>
      <c r="M143" s="9"/>
      <c r="N143" s="9"/>
    </row>
    <row r="144" spans="1:14" x14ac:dyDescent="0.3">
      <c r="A144" s="9"/>
      <c r="B144" s="9"/>
      <c r="C144" s="9"/>
      <c r="D144" s="9"/>
      <c r="E144" s="9"/>
      <c r="F144" s="9"/>
      <c r="G144" s="9"/>
      <c r="H144" s="9"/>
      <c r="I144" s="9"/>
      <c r="J144" s="9"/>
      <c r="K144" s="9"/>
      <c r="L144" s="9"/>
      <c r="M144" s="9"/>
      <c r="N144" s="9"/>
    </row>
    <row r="145" spans="1:14" x14ac:dyDescent="0.3">
      <c r="A145" s="9"/>
      <c r="B145" s="9"/>
      <c r="C145" s="9"/>
      <c r="D145" s="9"/>
      <c r="E145" s="9"/>
      <c r="F145" s="9"/>
      <c r="G145" s="9"/>
      <c r="H145" s="9"/>
      <c r="I145" s="9"/>
      <c r="J145" s="9"/>
      <c r="K145" s="9"/>
      <c r="L145" s="9"/>
      <c r="M145" s="9"/>
      <c r="N145" s="9"/>
    </row>
    <row r="146" spans="1:14" x14ac:dyDescent="0.3">
      <c r="A146" s="9"/>
      <c r="B146" s="9"/>
      <c r="C146" s="9"/>
      <c r="D146" s="9"/>
      <c r="E146" s="9"/>
      <c r="F146" s="9"/>
      <c r="G146" s="9"/>
      <c r="H146" s="9"/>
      <c r="I146" s="9"/>
      <c r="J146" s="9"/>
      <c r="K146" s="9"/>
      <c r="L146" s="9"/>
      <c r="M146" s="9"/>
      <c r="N146" s="9"/>
    </row>
    <row r="147" spans="1:14" x14ac:dyDescent="0.3">
      <c r="A147" s="9"/>
      <c r="B147" s="9"/>
      <c r="C147" s="9"/>
      <c r="D147" s="9"/>
      <c r="E147" s="9"/>
      <c r="F147" s="9"/>
      <c r="G147" s="9"/>
      <c r="H147" s="9"/>
      <c r="I147" s="9"/>
      <c r="J147" s="9"/>
      <c r="K147" s="9"/>
      <c r="L147" s="9"/>
      <c r="M147" s="9"/>
      <c r="N147" s="9"/>
    </row>
    <row r="148" spans="1:14" x14ac:dyDescent="0.3">
      <c r="A148" s="9"/>
      <c r="B148" s="9"/>
      <c r="C148" s="9"/>
      <c r="D148" s="9"/>
      <c r="E148" s="9"/>
      <c r="F148" s="9"/>
      <c r="G148" s="9"/>
      <c r="H148" s="9"/>
      <c r="I148" s="9"/>
      <c r="J148" s="9"/>
      <c r="K148" s="9"/>
      <c r="L148" s="9"/>
      <c r="M148" s="9"/>
      <c r="N148" s="9"/>
    </row>
    <row r="149" spans="1:14" x14ac:dyDescent="0.3">
      <c r="A149" s="9"/>
      <c r="B149" s="9"/>
      <c r="C149" s="9"/>
      <c r="D149" s="9"/>
      <c r="E149" s="9"/>
      <c r="F149" s="9"/>
      <c r="G149" s="9"/>
      <c r="H149" s="9"/>
      <c r="I149" s="9"/>
      <c r="J149" s="9"/>
      <c r="K149" s="9"/>
      <c r="L149" s="9"/>
      <c r="M149" s="9"/>
      <c r="N149" s="9"/>
    </row>
    <row r="150" spans="1:14" x14ac:dyDescent="0.3">
      <c r="A150" s="9"/>
      <c r="B150" s="9"/>
      <c r="C150" s="9"/>
      <c r="D150" s="9"/>
      <c r="E150" s="9"/>
      <c r="F150" s="9"/>
      <c r="G150" s="9"/>
      <c r="H150" s="9"/>
      <c r="I150" s="9"/>
      <c r="J150" s="9"/>
      <c r="K150" s="9"/>
      <c r="L150" s="9"/>
      <c r="M150" s="9"/>
      <c r="N150" s="9"/>
    </row>
    <row r="151" spans="1:14" x14ac:dyDescent="0.3">
      <c r="A151" s="9"/>
      <c r="B151" s="9"/>
      <c r="C151" s="9"/>
      <c r="D151" s="9"/>
      <c r="E151" s="9"/>
      <c r="F151" s="9"/>
      <c r="G151" s="9"/>
      <c r="H151" s="9"/>
      <c r="I151" s="9"/>
      <c r="J151" s="9"/>
      <c r="K151" s="9"/>
      <c r="L151" s="9"/>
      <c r="M151" s="9"/>
      <c r="N151" s="9"/>
    </row>
    <row r="152" spans="1:14" x14ac:dyDescent="0.3">
      <c r="A152" s="9"/>
      <c r="B152" s="9"/>
      <c r="C152" s="9"/>
      <c r="D152" s="9"/>
      <c r="E152" s="9"/>
      <c r="F152" s="9"/>
      <c r="G152" s="9"/>
      <c r="H152" s="9"/>
      <c r="I152" s="9"/>
      <c r="J152" s="9"/>
      <c r="K152" s="9"/>
      <c r="L152" s="9"/>
      <c r="M152" s="9"/>
      <c r="N152" s="9"/>
    </row>
    <row r="153" spans="1:14" x14ac:dyDescent="0.3">
      <c r="A153" s="9"/>
      <c r="B153" s="9"/>
      <c r="C153" s="9"/>
      <c r="D153" s="9"/>
      <c r="E153" s="9"/>
      <c r="F153" s="9"/>
      <c r="G153" s="9"/>
      <c r="H153" s="9"/>
      <c r="I153" s="9"/>
      <c r="J153" s="9"/>
      <c r="K153" s="9"/>
      <c r="L153" s="9"/>
      <c r="M153" s="9"/>
      <c r="N153" s="9"/>
    </row>
    <row r="154" spans="1:14" x14ac:dyDescent="0.3">
      <c r="A154" s="9"/>
      <c r="B154" s="9"/>
      <c r="C154" s="9"/>
      <c r="D154" s="9"/>
      <c r="E154" s="9"/>
      <c r="F154" s="9"/>
      <c r="G154" s="9"/>
      <c r="H154" s="9"/>
      <c r="I154" s="9"/>
      <c r="J154" s="9"/>
      <c r="K154" s="9"/>
      <c r="L154" s="9"/>
      <c r="M154" s="9"/>
      <c r="N154" s="9"/>
    </row>
    <row r="155" spans="1:14" x14ac:dyDescent="0.3">
      <c r="A155" s="9"/>
      <c r="B155" s="9"/>
      <c r="C155" s="9"/>
      <c r="D155" s="9"/>
      <c r="E155" s="9"/>
      <c r="F155" s="9"/>
      <c r="G155" s="9"/>
      <c r="H155" s="9"/>
      <c r="I155" s="9"/>
      <c r="J155" s="9"/>
      <c r="K155" s="9"/>
      <c r="L155" s="9"/>
      <c r="M155" s="9"/>
      <c r="N155" s="9"/>
    </row>
    <row r="156" spans="1:14" x14ac:dyDescent="0.3">
      <c r="A156" s="9"/>
      <c r="B156" s="9"/>
      <c r="C156" s="9"/>
      <c r="D156" s="9"/>
      <c r="E156" s="9"/>
      <c r="F156" s="9"/>
      <c r="G156" s="9"/>
      <c r="H156" s="9"/>
      <c r="I156" s="9"/>
      <c r="J156" s="9"/>
      <c r="K156" s="9"/>
      <c r="L156" s="9"/>
      <c r="M156" s="9"/>
      <c r="N156" s="9"/>
    </row>
    <row r="157" spans="1:14" x14ac:dyDescent="0.3">
      <c r="A157" s="9"/>
      <c r="B157" s="9"/>
      <c r="C157" s="9"/>
      <c r="D157" s="9"/>
      <c r="E157" s="9"/>
      <c r="F157" s="9"/>
      <c r="G157" s="9"/>
      <c r="H157" s="9"/>
      <c r="I157" s="9"/>
      <c r="J157" s="9"/>
      <c r="K157" s="9"/>
      <c r="L157" s="9"/>
      <c r="M157" s="9"/>
      <c r="N157" s="9"/>
    </row>
    <row r="158" spans="1:14" x14ac:dyDescent="0.3">
      <c r="A158" s="9"/>
      <c r="B158" s="9"/>
      <c r="C158" s="9"/>
      <c r="D158" s="9"/>
      <c r="E158" s="9"/>
      <c r="F158" s="9"/>
      <c r="G158" s="9"/>
      <c r="H158" s="9"/>
      <c r="I158" s="9"/>
      <c r="J158" s="9"/>
      <c r="K158" s="9"/>
      <c r="L158" s="9"/>
      <c r="M158" s="9"/>
      <c r="N158" s="9"/>
    </row>
    <row r="159" spans="1:14" x14ac:dyDescent="0.3">
      <c r="A159" s="9"/>
      <c r="B159" s="9"/>
      <c r="C159" s="9"/>
      <c r="D159" s="9"/>
      <c r="E159" s="9"/>
      <c r="F159" s="9"/>
      <c r="G159" s="9"/>
      <c r="H159" s="9"/>
      <c r="I159" s="9"/>
      <c r="J159" s="9"/>
      <c r="K159" s="9"/>
      <c r="L159" s="9"/>
      <c r="M159" s="9"/>
      <c r="N159" s="9"/>
    </row>
    <row r="160" spans="1:14" x14ac:dyDescent="0.3">
      <c r="A160" s="9"/>
      <c r="B160" s="9"/>
      <c r="C160" s="9"/>
      <c r="D160" s="9"/>
      <c r="E160" s="9"/>
      <c r="F160" s="9"/>
      <c r="G160" s="9"/>
      <c r="H160" s="9"/>
      <c r="I160" s="9"/>
      <c r="J160" s="9"/>
      <c r="K160" s="9"/>
      <c r="L160" s="9"/>
      <c r="M160" s="9"/>
      <c r="N160" s="9"/>
    </row>
    <row r="161" spans="1:14" x14ac:dyDescent="0.3">
      <c r="A161" s="9"/>
      <c r="B161" s="9"/>
      <c r="C161" s="9"/>
      <c r="D161" s="9"/>
      <c r="E161" s="9"/>
      <c r="F161" s="9"/>
      <c r="G161" s="9"/>
      <c r="H161" s="9"/>
      <c r="I161" s="9"/>
      <c r="J161" s="9"/>
      <c r="K161" s="9"/>
      <c r="L161" s="9"/>
      <c r="M161" s="9"/>
      <c r="N161" s="9"/>
    </row>
    <row r="162" spans="1:14" x14ac:dyDescent="0.3">
      <c r="A162" s="9"/>
      <c r="B162" s="9"/>
      <c r="C162" s="9"/>
      <c r="D162" s="9"/>
      <c r="E162" s="9"/>
      <c r="F162" s="9"/>
      <c r="G162" s="9"/>
      <c r="H162" s="9"/>
      <c r="I162" s="9"/>
      <c r="J162" s="9"/>
      <c r="K162" s="9"/>
      <c r="L162" s="9"/>
      <c r="M162" s="9"/>
      <c r="N162" s="9"/>
    </row>
    <row r="163" spans="1:14" x14ac:dyDescent="0.3">
      <c r="A163" s="9"/>
      <c r="B163" s="9"/>
      <c r="C163" s="9"/>
      <c r="D163" s="9"/>
      <c r="E163" s="9"/>
      <c r="F163" s="9"/>
      <c r="G163" s="9"/>
      <c r="H163" s="9"/>
      <c r="I163" s="9"/>
      <c r="J163" s="9"/>
      <c r="K163" s="9"/>
      <c r="L163" s="9"/>
      <c r="M163" s="9"/>
      <c r="N163" s="9"/>
    </row>
    <row r="164" spans="1:14" x14ac:dyDescent="0.3">
      <c r="A164" s="9"/>
      <c r="B164" s="9"/>
      <c r="C164" s="9"/>
      <c r="D164" s="9"/>
      <c r="E164" s="9"/>
      <c r="F164" s="9"/>
      <c r="G164" s="9"/>
      <c r="H164" s="9"/>
      <c r="I164" s="9"/>
      <c r="J164" s="9"/>
      <c r="K164" s="9"/>
      <c r="L164" s="9"/>
      <c r="M164" s="9"/>
      <c r="N164" s="9"/>
    </row>
    <row r="165" spans="1:14" x14ac:dyDescent="0.3">
      <c r="A165" s="9"/>
      <c r="B165" s="9"/>
      <c r="C165" s="9"/>
      <c r="D165" s="9"/>
      <c r="E165" s="9"/>
      <c r="F165" s="9"/>
      <c r="G165" s="9"/>
      <c r="H165" s="9"/>
      <c r="I165" s="9"/>
      <c r="J165" s="9"/>
      <c r="K165" s="9"/>
      <c r="L165" s="9"/>
      <c r="M165" s="9"/>
      <c r="N165" s="9"/>
    </row>
    <row r="166" spans="1:14" x14ac:dyDescent="0.3">
      <c r="A166" s="9"/>
      <c r="B166" s="9"/>
      <c r="C166" s="9"/>
      <c r="D166" s="9"/>
      <c r="E166" s="9"/>
      <c r="F166" s="9"/>
      <c r="G166" s="9"/>
      <c r="H166" s="9"/>
      <c r="I166" s="9"/>
      <c r="J166" s="9"/>
      <c r="K166" s="9"/>
      <c r="L166" s="9"/>
      <c r="M166" s="9"/>
      <c r="N166" s="9"/>
    </row>
    <row r="167" spans="1:14" x14ac:dyDescent="0.3">
      <c r="A167" s="9"/>
      <c r="B167" s="9"/>
      <c r="C167" s="9"/>
      <c r="D167" s="9"/>
      <c r="E167" s="9"/>
      <c r="F167" s="9"/>
      <c r="G167" s="9"/>
      <c r="H167" s="9"/>
      <c r="I167" s="9"/>
      <c r="J167" s="9"/>
      <c r="K167" s="9"/>
      <c r="L167" s="9"/>
      <c r="M167" s="9"/>
      <c r="N167" s="9"/>
    </row>
    <row r="168" spans="1:14" x14ac:dyDescent="0.3">
      <c r="A168" s="9"/>
      <c r="B168" s="9"/>
      <c r="C168" s="9"/>
      <c r="D168" s="9"/>
      <c r="E168" s="9"/>
      <c r="F168" s="9"/>
      <c r="G168" s="9"/>
      <c r="H168" s="9"/>
      <c r="I168" s="9"/>
      <c r="J168" s="9"/>
      <c r="K168" s="9"/>
      <c r="L168" s="9"/>
      <c r="M168" s="9"/>
      <c r="N168" s="9"/>
    </row>
    <row r="169" spans="1:14" x14ac:dyDescent="0.3">
      <c r="A169" s="9"/>
      <c r="B169" s="9"/>
      <c r="C169" s="9"/>
      <c r="D169" s="9"/>
      <c r="E169" s="9"/>
      <c r="F169" s="9"/>
      <c r="G169" s="9"/>
      <c r="H169" s="9"/>
      <c r="I169" s="9"/>
      <c r="J169" s="9"/>
      <c r="K169" s="9"/>
      <c r="L169" s="9"/>
      <c r="M169" s="9"/>
      <c r="N169" s="9"/>
    </row>
    <row r="170" spans="1:14" x14ac:dyDescent="0.3">
      <c r="A170" s="9"/>
      <c r="B170" s="9"/>
      <c r="C170" s="9"/>
      <c r="D170" s="9"/>
      <c r="E170" s="9"/>
      <c r="F170" s="9"/>
      <c r="G170" s="9"/>
      <c r="H170" s="9"/>
      <c r="I170" s="9"/>
      <c r="J170" s="9"/>
      <c r="K170" s="9"/>
      <c r="L170" s="9"/>
      <c r="M170" s="9"/>
      <c r="N170" s="9"/>
    </row>
    <row r="171" spans="1:14" x14ac:dyDescent="0.3">
      <c r="A171" s="9"/>
      <c r="B171" s="9"/>
      <c r="C171" s="9"/>
      <c r="D171" s="9"/>
      <c r="E171" s="9"/>
      <c r="F171" s="9"/>
      <c r="G171" s="9"/>
      <c r="H171" s="9"/>
      <c r="I171" s="9"/>
      <c r="J171" s="9"/>
      <c r="K171" s="9"/>
      <c r="L171" s="9"/>
      <c r="M171" s="9"/>
      <c r="N171" s="9"/>
    </row>
    <row r="172" spans="1:14" x14ac:dyDescent="0.3">
      <c r="A172" s="9"/>
      <c r="B172" s="9"/>
      <c r="C172" s="9"/>
      <c r="D172" s="9"/>
      <c r="E172" s="9"/>
      <c r="F172" s="9"/>
      <c r="G172" s="9"/>
      <c r="H172" s="9"/>
      <c r="I172" s="9"/>
      <c r="J172" s="9"/>
      <c r="K172" s="9"/>
      <c r="L172" s="9"/>
      <c r="M172" s="9"/>
      <c r="N172" s="9"/>
    </row>
    <row r="173" spans="1:14" x14ac:dyDescent="0.3">
      <c r="A173" s="9"/>
      <c r="B173" s="9"/>
      <c r="C173" s="9"/>
      <c r="D173" s="9"/>
      <c r="E173" s="9"/>
      <c r="F173" s="9"/>
      <c r="G173" s="9"/>
      <c r="H173" s="9"/>
      <c r="I173" s="9"/>
      <c r="J173" s="9"/>
      <c r="K173" s="9"/>
      <c r="L173" s="9"/>
      <c r="M173" s="9"/>
      <c r="N173" s="9"/>
    </row>
    <row r="174" spans="1:14" x14ac:dyDescent="0.3">
      <c r="A174" s="9"/>
      <c r="B174" s="9"/>
      <c r="C174" s="9"/>
      <c r="D174" s="9"/>
      <c r="E174" s="9"/>
      <c r="F174" s="9"/>
      <c r="G174" s="9"/>
      <c r="H174" s="9"/>
      <c r="I174" s="9"/>
      <c r="J174" s="9"/>
      <c r="K174" s="9"/>
      <c r="L174" s="9"/>
      <c r="M174" s="9"/>
      <c r="N174" s="9"/>
    </row>
    <row r="175" spans="1:14" x14ac:dyDescent="0.3">
      <c r="A175" s="9"/>
      <c r="B175" s="9"/>
      <c r="C175" s="9"/>
      <c r="D175" s="9"/>
      <c r="E175" s="9"/>
      <c r="F175" s="9"/>
      <c r="G175" s="9"/>
      <c r="H175" s="9"/>
      <c r="I175" s="9"/>
      <c r="J175" s="9"/>
      <c r="K175" s="9"/>
      <c r="L175" s="9"/>
      <c r="M175" s="9"/>
      <c r="N175" s="9"/>
    </row>
    <row r="176" spans="1:14" x14ac:dyDescent="0.3">
      <c r="A176" s="9"/>
      <c r="B176" s="9"/>
      <c r="C176" s="9"/>
      <c r="D176" s="9"/>
      <c r="E176" s="9"/>
      <c r="F176" s="9"/>
      <c r="G176" s="9"/>
      <c r="H176" s="9"/>
      <c r="I176" s="9"/>
      <c r="J176" s="9"/>
      <c r="K176" s="9"/>
      <c r="L176" s="9"/>
      <c r="M176" s="9"/>
      <c r="N176" s="9"/>
    </row>
    <row r="177" spans="1:14" x14ac:dyDescent="0.3">
      <c r="A177" s="9"/>
      <c r="B177" s="9"/>
      <c r="C177" s="9"/>
      <c r="D177" s="9"/>
      <c r="E177" s="9"/>
      <c r="F177" s="9"/>
      <c r="G177" s="9"/>
      <c r="H177" s="9"/>
      <c r="I177" s="9"/>
      <c r="J177" s="9"/>
      <c r="K177" s="9"/>
      <c r="L177" s="9"/>
      <c r="M177" s="9"/>
      <c r="N177" s="9"/>
    </row>
    <row r="178" spans="1:14" x14ac:dyDescent="0.3">
      <c r="A178" s="9"/>
      <c r="B178" s="9"/>
      <c r="C178" s="9"/>
      <c r="D178" s="9"/>
      <c r="E178" s="9"/>
      <c r="F178" s="9"/>
      <c r="G178" s="9"/>
      <c r="H178" s="9"/>
      <c r="I178" s="9"/>
      <c r="J178" s="9"/>
      <c r="K178" s="9"/>
      <c r="L178" s="9"/>
      <c r="M178" s="9"/>
      <c r="N178" s="9"/>
    </row>
    <row r="179" spans="1:14" x14ac:dyDescent="0.3">
      <c r="A179" s="9"/>
      <c r="B179" s="9"/>
      <c r="C179" s="9"/>
      <c r="D179" s="9"/>
      <c r="E179" s="9"/>
      <c r="F179" s="9"/>
      <c r="G179" s="9"/>
      <c r="H179" s="9"/>
      <c r="I179" s="9"/>
      <c r="J179" s="9"/>
      <c r="K179" s="9"/>
      <c r="L179" s="9"/>
      <c r="M179" s="9"/>
      <c r="N179" s="9"/>
    </row>
    <row r="180" spans="1:14" x14ac:dyDescent="0.3">
      <c r="A180" s="9"/>
      <c r="B180" s="9"/>
      <c r="C180" s="9"/>
      <c r="D180" s="9"/>
      <c r="E180" s="9"/>
      <c r="F180" s="9"/>
      <c r="G180" s="9"/>
      <c r="H180" s="9"/>
      <c r="I180" s="9"/>
      <c r="J180" s="9"/>
      <c r="K180" s="9"/>
      <c r="L180" s="9"/>
      <c r="M180" s="9"/>
      <c r="N180" s="9"/>
    </row>
    <row r="181" spans="1:14" x14ac:dyDescent="0.3">
      <c r="A181" s="9"/>
      <c r="B181" s="9"/>
      <c r="C181" s="9"/>
      <c r="D181" s="9"/>
      <c r="E181" s="9"/>
      <c r="F181" s="9"/>
      <c r="G181" s="9"/>
      <c r="H181" s="9"/>
      <c r="I181" s="9"/>
      <c r="J181" s="9"/>
      <c r="K181" s="9"/>
      <c r="L181" s="9"/>
      <c r="M181" s="9"/>
      <c r="N181" s="9"/>
    </row>
    <row r="182" spans="1:14" x14ac:dyDescent="0.3">
      <c r="A182" s="9"/>
      <c r="B182" s="9"/>
      <c r="C182" s="9"/>
      <c r="D182" s="9"/>
      <c r="E182" s="9"/>
      <c r="F182" s="9"/>
      <c r="G182" s="9"/>
      <c r="H182" s="9"/>
      <c r="I182" s="9"/>
      <c r="J182" s="9"/>
      <c r="K182" s="9"/>
      <c r="L182" s="9"/>
      <c r="M182" s="9"/>
      <c r="N182" s="9"/>
    </row>
    <row r="183" spans="1:14" x14ac:dyDescent="0.3">
      <c r="A183" s="9"/>
      <c r="B183" s="9"/>
      <c r="C183" s="9"/>
      <c r="D183" s="9"/>
      <c r="E183" s="9"/>
      <c r="F183" s="9"/>
      <c r="G183" s="9"/>
      <c r="H183" s="9"/>
      <c r="I183" s="9"/>
      <c r="J183" s="9"/>
      <c r="K183" s="9"/>
      <c r="L183" s="9"/>
      <c r="M183" s="9"/>
      <c r="N183" s="9"/>
    </row>
    <row r="184" spans="1:14" x14ac:dyDescent="0.3">
      <c r="A184" s="9"/>
      <c r="B184" s="9"/>
      <c r="C184" s="9"/>
      <c r="D184" s="9"/>
      <c r="E184" s="9"/>
      <c r="F184" s="9"/>
      <c r="G184" s="9"/>
      <c r="H184" s="9"/>
      <c r="I184" s="9"/>
      <c r="J184" s="9"/>
      <c r="K184" s="9"/>
      <c r="L184" s="9"/>
      <c r="M184" s="9"/>
      <c r="N184" s="9"/>
    </row>
    <row r="185" spans="1:14" x14ac:dyDescent="0.3">
      <c r="A185" s="9"/>
      <c r="B185" s="9"/>
      <c r="C185" s="9"/>
      <c r="D185" s="9"/>
      <c r="E185" s="9"/>
      <c r="F185" s="9"/>
      <c r="G185" s="9"/>
      <c r="H185" s="9"/>
      <c r="I185" s="9"/>
      <c r="J185" s="9"/>
      <c r="K185" s="9"/>
      <c r="L185" s="9"/>
      <c r="M185" s="9"/>
      <c r="N185" s="9"/>
    </row>
    <row r="186" spans="1:14" x14ac:dyDescent="0.3">
      <c r="A186" s="9"/>
      <c r="B186" s="9"/>
      <c r="C186" s="9"/>
      <c r="D186" s="9"/>
      <c r="E186" s="9"/>
      <c r="F186" s="9"/>
      <c r="G186" s="9"/>
      <c r="H186" s="9"/>
      <c r="I186" s="9"/>
      <c r="J186" s="9"/>
      <c r="K186" s="9"/>
      <c r="L186" s="9"/>
      <c r="M186" s="9"/>
      <c r="N186" s="9"/>
    </row>
    <row r="187" spans="1:14" x14ac:dyDescent="0.3">
      <c r="A187" s="9"/>
      <c r="B187" s="9"/>
      <c r="C187" s="9"/>
      <c r="D187" s="9"/>
      <c r="E187" s="9"/>
      <c r="F187" s="9"/>
      <c r="G187" s="9"/>
      <c r="H187" s="9"/>
      <c r="I187" s="9"/>
      <c r="J187" s="9"/>
      <c r="K187" s="9"/>
      <c r="L187" s="9"/>
      <c r="M187" s="9"/>
      <c r="N187" s="9"/>
    </row>
    <row r="188" spans="1:14" x14ac:dyDescent="0.3">
      <c r="A188" s="9"/>
      <c r="B188" s="9"/>
      <c r="C188" s="9"/>
      <c r="D188" s="9"/>
      <c r="E188" s="9"/>
      <c r="F188" s="9"/>
      <c r="G188" s="9"/>
      <c r="H188" s="9"/>
      <c r="I188" s="9"/>
      <c r="J188" s="9"/>
      <c r="K188" s="9"/>
      <c r="L188" s="9"/>
      <c r="M188" s="9"/>
      <c r="N188" s="9"/>
    </row>
    <row r="189" spans="1:14" x14ac:dyDescent="0.3">
      <c r="A189" s="9"/>
      <c r="B189" s="9"/>
      <c r="C189" s="9"/>
      <c r="D189" s="9"/>
      <c r="E189" s="9"/>
      <c r="F189" s="9"/>
      <c r="G189" s="9"/>
      <c r="H189" s="9"/>
      <c r="I189" s="9"/>
      <c r="J189" s="9"/>
      <c r="K189" s="9"/>
      <c r="L189" s="9"/>
      <c r="M189" s="9"/>
      <c r="N189" s="9"/>
    </row>
    <row r="190" spans="1:14" x14ac:dyDescent="0.3">
      <c r="A190" s="9"/>
      <c r="B190" s="9"/>
      <c r="C190" s="9"/>
      <c r="D190" s="9"/>
      <c r="E190" s="9"/>
      <c r="F190" s="9"/>
      <c r="G190" s="9"/>
      <c r="H190" s="9"/>
      <c r="I190" s="9"/>
      <c r="J190" s="9"/>
      <c r="K190" s="9"/>
      <c r="L190" s="9"/>
      <c r="M190" s="9"/>
      <c r="N190" s="9"/>
    </row>
    <row r="191" spans="1:14" x14ac:dyDescent="0.3">
      <c r="A191" s="9"/>
      <c r="B191" s="9"/>
      <c r="C191" s="9"/>
      <c r="D191" s="9"/>
      <c r="E191" s="9"/>
      <c r="F191" s="9"/>
      <c r="G191" s="9"/>
      <c r="H191" s="9"/>
      <c r="I191" s="9"/>
      <c r="J191" s="9"/>
      <c r="K191" s="9"/>
      <c r="L191" s="9"/>
      <c r="M191" s="9"/>
      <c r="N191" s="9"/>
    </row>
    <row r="192" spans="1:14" x14ac:dyDescent="0.3">
      <c r="A192" s="9"/>
      <c r="B192" s="9"/>
      <c r="C192" s="9"/>
      <c r="D192" s="9"/>
      <c r="E192" s="9"/>
      <c r="F192" s="9"/>
      <c r="G192" s="9"/>
      <c r="H192" s="9"/>
      <c r="I192" s="9"/>
      <c r="J192" s="9"/>
      <c r="K192" s="9"/>
      <c r="L192" s="9"/>
      <c r="M192" s="9"/>
      <c r="N192" s="9"/>
    </row>
    <row r="193" spans="1:14" x14ac:dyDescent="0.3">
      <c r="A193" s="9"/>
      <c r="B193" s="9"/>
      <c r="C193" s="9"/>
      <c r="D193" s="9"/>
      <c r="E193" s="9"/>
      <c r="F193" s="9"/>
      <c r="G193" s="9"/>
      <c r="H193" s="9"/>
      <c r="I193" s="9"/>
      <c r="J193" s="9"/>
      <c r="K193" s="9"/>
      <c r="L193" s="9"/>
      <c r="M193" s="9"/>
      <c r="N193" s="9"/>
    </row>
    <row r="194" spans="1:14" x14ac:dyDescent="0.3">
      <c r="A194" s="9"/>
      <c r="B194" s="9"/>
      <c r="C194" s="9"/>
      <c r="D194" s="9"/>
      <c r="E194" s="9"/>
      <c r="F194" s="9"/>
      <c r="G194" s="9"/>
      <c r="H194" s="9"/>
      <c r="I194" s="9"/>
      <c r="J194" s="9"/>
      <c r="K194" s="9"/>
      <c r="L194" s="9"/>
      <c r="M194" s="9"/>
      <c r="N194" s="9"/>
    </row>
    <row r="195" spans="1:14" x14ac:dyDescent="0.3">
      <c r="A195" s="9"/>
      <c r="B195" s="9"/>
      <c r="C195" s="9"/>
      <c r="D195" s="9"/>
      <c r="E195" s="9"/>
      <c r="F195" s="9"/>
      <c r="G195" s="9"/>
      <c r="H195" s="9"/>
      <c r="I195" s="9"/>
      <c r="J195" s="9"/>
      <c r="K195" s="9"/>
      <c r="L195" s="9"/>
      <c r="M195" s="9"/>
      <c r="N195" s="9"/>
    </row>
    <row r="196" spans="1:14" x14ac:dyDescent="0.3">
      <c r="A196" s="9"/>
      <c r="B196" s="9"/>
      <c r="C196" s="9"/>
      <c r="D196" s="9"/>
      <c r="E196" s="9"/>
      <c r="F196" s="9"/>
      <c r="G196" s="9"/>
      <c r="H196" s="9"/>
      <c r="I196" s="9"/>
      <c r="J196" s="9"/>
      <c r="K196" s="9"/>
      <c r="L196" s="9"/>
      <c r="M196" s="9"/>
      <c r="N196" s="9"/>
    </row>
    <row r="197" spans="1:14" x14ac:dyDescent="0.3">
      <c r="A197" s="9"/>
      <c r="B197" s="9"/>
      <c r="C197" s="9"/>
      <c r="D197" s="9"/>
      <c r="E197" s="9"/>
      <c r="F197" s="9"/>
      <c r="G197" s="9"/>
      <c r="H197" s="9"/>
      <c r="I197" s="9"/>
      <c r="J197" s="9"/>
      <c r="K197" s="9"/>
      <c r="L197" s="9"/>
      <c r="M197" s="9"/>
      <c r="N197" s="9"/>
    </row>
    <row r="198" spans="1:14" x14ac:dyDescent="0.3">
      <c r="A198" s="9"/>
      <c r="B198" s="9"/>
      <c r="C198" s="9"/>
      <c r="D198" s="9"/>
      <c r="E198" s="9"/>
      <c r="F198" s="9"/>
      <c r="G198" s="9"/>
      <c r="H198" s="9"/>
      <c r="I198" s="9"/>
      <c r="J198" s="9"/>
      <c r="K198" s="9"/>
      <c r="L198" s="9"/>
      <c r="M198" s="9"/>
      <c r="N198" s="9"/>
    </row>
    <row r="199" spans="1:14" x14ac:dyDescent="0.3">
      <c r="A199" s="9"/>
      <c r="B199" s="9"/>
      <c r="C199" s="9"/>
      <c r="D199" s="9"/>
      <c r="E199" s="9"/>
      <c r="F199" s="9"/>
      <c r="G199" s="9"/>
      <c r="H199" s="9"/>
      <c r="I199" s="9"/>
      <c r="J199" s="9"/>
      <c r="K199" s="9"/>
      <c r="L199" s="9"/>
      <c r="M199" s="9"/>
      <c r="N199" s="9"/>
    </row>
    <row r="200" spans="1:14" x14ac:dyDescent="0.3">
      <c r="A200" s="9"/>
      <c r="B200" s="9"/>
      <c r="C200" s="9"/>
      <c r="D200" s="9"/>
      <c r="E200" s="9"/>
      <c r="F200" s="9"/>
      <c r="G200" s="9"/>
      <c r="H200" s="9"/>
      <c r="I200" s="9"/>
      <c r="J200" s="9"/>
      <c r="K200" s="9"/>
      <c r="L200" s="9"/>
      <c r="M200" s="9"/>
      <c r="N200" s="9"/>
    </row>
    <row r="201" spans="1:14" x14ac:dyDescent="0.3">
      <c r="A201" s="9"/>
      <c r="B201" s="9"/>
      <c r="C201" s="9"/>
      <c r="D201" s="9"/>
      <c r="E201" s="9"/>
      <c r="F201" s="9"/>
      <c r="G201" s="9"/>
      <c r="H201" s="9"/>
      <c r="I201" s="9"/>
      <c r="J201" s="9"/>
      <c r="K201" s="9"/>
      <c r="L201" s="9"/>
      <c r="M201" s="9"/>
      <c r="N201" s="9"/>
    </row>
    <row r="202" spans="1:14" x14ac:dyDescent="0.3">
      <c r="A202" s="9"/>
      <c r="B202" s="9"/>
      <c r="C202" s="9"/>
      <c r="D202" s="9"/>
      <c r="E202" s="9"/>
      <c r="F202" s="9"/>
      <c r="G202" s="9"/>
      <c r="H202" s="9"/>
      <c r="I202" s="9"/>
      <c r="J202" s="9"/>
      <c r="K202" s="9"/>
      <c r="L202" s="9"/>
      <c r="M202" s="9"/>
      <c r="N202" s="9"/>
    </row>
    <row r="203" spans="1:14" x14ac:dyDescent="0.3">
      <c r="A203" s="9"/>
      <c r="B203" s="9"/>
      <c r="C203" s="9"/>
      <c r="D203" s="9"/>
      <c r="E203" s="9"/>
      <c r="F203" s="9"/>
      <c r="G203" s="9"/>
      <c r="H203" s="9"/>
      <c r="I203" s="9"/>
      <c r="J203" s="9"/>
      <c r="K203" s="9"/>
      <c r="L203" s="9"/>
      <c r="M203" s="9"/>
      <c r="N203" s="9"/>
    </row>
    <row r="204" spans="1:14" x14ac:dyDescent="0.3">
      <c r="A204" s="9"/>
      <c r="B204" s="9"/>
      <c r="C204" s="9"/>
      <c r="D204" s="9"/>
      <c r="E204" s="9"/>
      <c r="F204" s="9"/>
      <c r="G204" s="9"/>
      <c r="H204" s="9"/>
      <c r="I204" s="9"/>
      <c r="J204" s="9"/>
      <c r="K204" s="9"/>
      <c r="L204" s="9"/>
      <c r="M204" s="9"/>
      <c r="N204" s="9"/>
    </row>
    <row r="205" spans="1:14" x14ac:dyDescent="0.3">
      <c r="A205" s="9"/>
      <c r="B205" s="9"/>
      <c r="C205" s="9"/>
      <c r="D205" s="9"/>
      <c r="E205" s="9"/>
      <c r="F205" s="9"/>
      <c r="G205" s="9"/>
      <c r="H205" s="9"/>
      <c r="I205" s="9"/>
      <c r="J205" s="9"/>
      <c r="K205" s="9"/>
      <c r="L205" s="9"/>
      <c r="M205" s="9"/>
      <c r="N205" s="9"/>
    </row>
    <row r="206" spans="1:14" x14ac:dyDescent="0.3">
      <c r="A206" s="9"/>
      <c r="B206" s="9"/>
      <c r="C206" s="9"/>
      <c r="D206" s="9"/>
      <c r="E206" s="9"/>
      <c r="F206" s="9"/>
      <c r="G206" s="9"/>
      <c r="H206" s="9"/>
      <c r="I206" s="9"/>
      <c r="J206" s="9"/>
      <c r="K206" s="9"/>
      <c r="L206" s="9"/>
      <c r="M206" s="9"/>
      <c r="N206" s="9"/>
    </row>
    <row r="207" spans="1:14" x14ac:dyDescent="0.3">
      <c r="A207" s="9"/>
      <c r="B207" s="9"/>
      <c r="C207" s="9"/>
      <c r="D207" s="9"/>
      <c r="E207" s="9"/>
      <c r="F207" s="9"/>
      <c r="G207" s="9"/>
      <c r="H207" s="9"/>
      <c r="I207" s="9"/>
      <c r="J207" s="9"/>
      <c r="K207" s="9"/>
      <c r="L207" s="9"/>
      <c r="M207" s="9"/>
      <c r="N207" s="9"/>
    </row>
    <row r="208" spans="1:14" x14ac:dyDescent="0.3">
      <c r="A208" s="9"/>
      <c r="B208" s="9"/>
      <c r="C208" s="9"/>
      <c r="D208" s="9"/>
      <c r="E208" s="9"/>
      <c r="F208" s="9"/>
      <c r="G208" s="9"/>
      <c r="H208" s="9"/>
      <c r="I208" s="9"/>
      <c r="J208" s="9"/>
      <c r="K208" s="9"/>
      <c r="L208" s="9"/>
      <c r="M208" s="9"/>
      <c r="N208" s="9"/>
    </row>
    <row r="209" spans="1:14" x14ac:dyDescent="0.3">
      <c r="A209" s="9"/>
      <c r="B209" s="9"/>
      <c r="C209" s="9"/>
      <c r="D209" s="9"/>
      <c r="E209" s="9"/>
      <c r="F209" s="9"/>
      <c r="G209" s="9"/>
      <c r="H209" s="9"/>
      <c r="I209" s="9"/>
      <c r="J209" s="9"/>
      <c r="K209" s="9"/>
      <c r="L209" s="9"/>
      <c r="M209" s="9"/>
      <c r="N209" s="9"/>
    </row>
    <row r="210" spans="1:14" x14ac:dyDescent="0.3">
      <c r="A210" s="9"/>
      <c r="B210" s="9"/>
      <c r="C210" s="9"/>
      <c r="D210" s="9"/>
      <c r="E210" s="9"/>
      <c r="F210" s="9"/>
      <c r="G210" s="9"/>
      <c r="H210" s="9"/>
      <c r="I210" s="9"/>
      <c r="J210" s="9"/>
      <c r="K210" s="9"/>
      <c r="L210" s="9"/>
      <c r="M210" s="9"/>
      <c r="N210" s="9"/>
    </row>
    <row r="211" spans="1:14" x14ac:dyDescent="0.3">
      <c r="A211" s="9"/>
      <c r="B211" s="9"/>
      <c r="C211" s="9"/>
      <c r="D211" s="9"/>
      <c r="E211" s="9"/>
      <c r="F211" s="9"/>
      <c r="G211" s="9"/>
      <c r="H211" s="9"/>
      <c r="I211" s="9"/>
      <c r="J211" s="9"/>
      <c r="K211" s="9"/>
      <c r="L211" s="9"/>
      <c r="M211" s="9"/>
      <c r="N211" s="9"/>
    </row>
    <row r="212" spans="1:14" x14ac:dyDescent="0.3">
      <c r="A212" s="9"/>
      <c r="B212" s="9"/>
      <c r="C212" s="9"/>
      <c r="D212" s="9"/>
      <c r="E212" s="9"/>
      <c r="F212" s="9"/>
      <c r="G212" s="9"/>
      <c r="H212" s="9"/>
      <c r="I212" s="9"/>
      <c r="J212" s="9"/>
      <c r="K212" s="9"/>
      <c r="L212" s="9"/>
      <c r="M212" s="9"/>
      <c r="N212" s="9"/>
    </row>
    <row r="213" spans="1:14" x14ac:dyDescent="0.3">
      <c r="A213" s="9"/>
      <c r="B213" s="9"/>
      <c r="C213" s="9"/>
      <c r="D213" s="9"/>
      <c r="E213" s="9"/>
      <c r="F213" s="9"/>
      <c r="G213" s="9"/>
      <c r="H213" s="9"/>
      <c r="I213" s="9"/>
      <c r="J213" s="9"/>
      <c r="K213" s="9"/>
      <c r="L213" s="9"/>
      <c r="M213" s="9"/>
      <c r="N213" s="9"/>
    </row>
    <row r="214" spans="1:14" x14ac:dyDescent="0.3">
      <c r="A214" s="9"/>
      <c r="B214" s="9"/>
      <c r="C214" s="9"/>
      <c r="D214" s="9"/>
      <c r="E214" s="9"/>
      <c r="F214" s="9"/>
      <c r="G214" s="9"/>
      <c r="H214" s="9"/>
      <c r="I214" s="9"/>
      <c r="J214" s="9"/>
      <c r="K214" s="9"/>
      <c r="L214" s="9"/>
      <c r="M214" s="9"/>
      <c r="N214" s="9"/>
    </row>
    <row r="215" spans="1:14" x14ac:dyDescent="0.3">
      <c r="A215" s="9"/>
      <c r="B215" s="9"/>
      <c r="C215" s="9"/>
      <c r="D215" s="9"/>
      <c r="E215" s="9"/>
      <c r="F215" s="9"/>
      <c r="G215" s="9"/>
      <c r="H215" s="9"/>
      <c r="I215" s="9"/>
      <c r="J215" s="9"/>
      <c r="K215" s="9"/>
      <c r="L215" s="9"/>
      <c r="M215" s="9"/>
      <c r="N215" s="9"/>
    </row>
    <row r="216" spans="1:14" x14ac:dyDescent="0.3">
      <c r="A216" s="9"/>
      <c r="B216" s="9"/>
      <c r="C216" s="9"/>
      <c r="D216" s="9"/>
      <c r="E216" s="9"/>
      <c r="F216" s="9"/>
      <c r="G216" s="9"/>
      <c r="H216" s="9"/>
      <c r="I216" s="9"/>
      <c r="J216" s="9"/>
      <c r="K216" s="9"/>
      <c r="L216" s="9"/>
      <c r="M216" s="9"/>
      <c r="N216" s="9"/>
    </row>
    <row r="217" spans="1:14" x14ac:dyDescent="0.3">
      <c r="A217" s="9"/>
      <c r="B217" s="9"/>
      <c r="C217" s="9"/>
      <c r="D217" s="9"/>
      <c r="E217" s="9"/>
      <c r="F217" s="9"/>
      <c r="G217" s="9"/>
      <c r="H217" s="9"/>
      <c r="I217" s="9"/>
      <c r="J217" s="9"/>
      <c r="K217" s="9"/>
      <c r="L217" s="9"/>
      <c r="M217" s="9"/>
      <c r="N217" s="9"/>
    </row>
    <row r="218" spans="1:14" x14ac:dyDescent="0.3">
      <c r="A218" s="9"/>
      <c r="B218" s="9"/>
      <c r="C218" s="9"/>
      <c r="D218" s="9"/>
      <c r="E218" s="9"/>
      <c r="F218" s="9"/>
      <c r="G218" s="9"/>
      <c r="H218" s="9"/>
      <c r="I218" s="9"/>
      <c r="J218" s="9"/>
      <c r="K218" s="9"/>
      <c r="L218" s="9"/>
      <c r="M218" s="9"/>
      <c r="N218" s="9"/>
    </row>
    <row r="219" spans="1:14" x14ac:dyDescent="0.3">
      <c r="A219" s="9"/>
      <c r="B219" s="9"/>
      <c r="C219" s="9"/>
      <c r="D219" s="9"/>
      <c r="E219" s="9"/>
      <c r="F219" s="9"/>
      <c r="G219" s="9"/>
      <c r="H219" s="9"/>
      <c r="I219" s="9"/>
      <c r="J219" s="9"/>
      <c r="K219" s="9"/>
      <c r="L219" s="9"/>
      <c r="M219" s="9"/>
      <c r="N219" s="9"/>
    </row>
    <row r="220" spans="1:14" x14ac:dyDescent="0.3">
      <c r="A220" s="9"/>
      <c r="B220" s="9"/>
      <c r="C220" s="9"/>
      <c r="D220" s="9"/>
      <c r="E220" s="9"/>
      <c r="F220" s="9"/>
      <c r="G220" s="9"/>
      <c r="H220" s="9"/>
      <c r="I220" s="9"/>
      <c r="J220" s="9"/>
      <c r="K220" s="9"/>
      <c r="L220" s="9"/>
      <c r="M220" s="9"/>
      <c r="N220" s="9"/>
    </row>
    <row r="221" spans="1:14" x14ac:dyDescent="0.3">
      <c r="A221" s="9"/>
      <c r="B221" s="9"/>
      <c r="C221" s="9"/>
      <c r="D221" s="9"/>
      <c r="E221" s="9"/>
      <c r="F221" s="9"/>
      <c r="G221" s="9"/>
      <c r="H221" s="9"/>
      <c r="I221" s="9"/>
      <c r="J221" s="9"/>
      <c r="K221" s="9"/>
      <c r="L221" s="9"/>
      <c r="M221" s="9"/>
      <c r="N221" s="9"/>
    </row>
    <row r="222" spans="1:14" x14ac:dyDescent="0.3">
      <c r="A222" s="9"/>
      <c r="B222" s="9"/>
      <c r="C222" s="9"/>
      <c r="D222" s="9"/>
      <c r="E222" s="9"/>
      <c r="F222" s="9"/>
      <c r="G222" s="9"/>
      <c r="H222" s="9"/>
      <c r="I222" s="9"/>
      <c r="J222" s="9"/>
      <c r="K222" s="9"/>
      <c r="L222" s="9"/>
      <c r="M222" s="9"/>
      <c r="N222" s="9"/>
    </row>
    <row r="223" spans="1:14" x14ac:dyDescent="0.3">
      <c r="A223" s="9"/>
      <c r="B223" s="9"/>
      <c r="C223" s="9"/>
      <c r="D223" s="9"/>
      <c r="E223" s="9"/>
      <c r="F223" s="9"/>
      <c r="G223" s="9"/>
      <c r="H223" s="9"/>
      <c r="I223" s="9"/>
      <c r="J223" s="9"/>
      <c r="K223" s="9"/>
      <c r="L223" s="9"/>
      <c r="M223" s="9"/>
      <c r="N223" s="9"/>
    </row>
    <row r="224" spans="1:14" x14ac:dyDescent="0.3">
      <c r="A224" s="9"/>
      <c r="B224" s="9"/>
      <c r="C224" s="9"/>
      <c r="D224" s="9"/>
      <c r="E224" s="9"/>
      <c r="F224" s="9"/>
      <c r="G224" s="9"/>
      <c r="H224" s="9"/>
      <c r="I224" s="9"/>
      <c r="J224" s="9"/>
      <c r="K224" s="9"/>
      <c r="L224" s="9"/>
      <c r="M224" s="9"/>
      <c r="N224" s="9"/>
    </row>
    <row r="225" spans="1:14" x14ac:dyDescent="0.3">
      <c r="A225" s="9"/>
      <c r="B225" s="9"/>
      <c r="C225" s="9"/>
      <c r="D225" s="9"/>
      <c r="E225" s="9"/>
      <c r="F225" s="9"/>
      <c r="G225" s="9"/>
      <c r="H225" s="9"/>
      <c r="I225" s="9"/>
      <c r="J225" s="9"/>
      <c r="K225" s="9"/>
      <c r="L225" s="9"/>
      <c r="M225" s="9"/>
      <c r="N225" s="9"/>
    </row>
    <row r="226" spans="1:14" x14ac:dyDescent="0.3">
      <c r="A226" s="9"/>
      <c r="B226" s="9"/>
      <c r="C226" s="9"/>
      <c r="D226" s="9"/>
      <c r="E226" s="9"/>
      <c r="F226" s="9"/>
      <c r="G226" s="9"/>
      <c r="H226" s="9"/>
      <c r="I226" s="9"/>
      <c r="J226" s="9"/>
      <c r="K226" s="9"/>
      <c r="L226" s="9"/>
      <c r="M226" s="9"/>
      <c r="N226" s="9"/>
    </row>
    <row r="227" spans="1:14" x14ac:dyDescent="0.3">
      <c r="A227" s="9"/>
      <c r="B227" s="9"/>
      <c r="C227" s="9"/>
      <c r="D227" s="9"/>
      <c r="E227" s="9"/>
      <c r="F227" s="9"/>
      <c r="G227" s="9"/>
      <c r="H227" s="9"/>
      <c r="I227" s="9"/>
      <c r="J227" s="9"/>
      <c r="K227" s="9"/>
      <c r="L227" s="9"/>
      <c r="M227" s="9"/>
      <c r="N227" s="9"/>
    </row>
    <row r="228" spans="1:14" x14ac:dyDescent="0.3">
      <c r="A228" s="9"/>
      <c r="B228" s="9"/>
      <c r="C228" s="9"/>
      <c r="D228" s="9"/>
      <c r="E228" s="9"/>
      <c r="F228" s="9"/>
      <c r="G228" s="9"/>
      <c r="H228" s="9"/>
      <c r="I228" s="9"/>
      <c r="J228" s="9"/>
      <c r="K228" s="9"/>
      <c r="L228" s="9"/>
      <c r="M228" s="9"/>
      <c r="N228" s="9"/>
    </row>
    <row r="229" spans="1:14" x14ac:dyDescent="0.3">
      <c r="A229" s="9"/>
      <c r="B229" s="9"/>
      <c r="C229" s="9"/>
      <c r="D229" s="9"/>
      <c r="E229" s="9"/>
      <c r="F229" s="9"/>
      <c r="G229" s="9"/>
      <c r="H229" s="9"/>
      <c r="I229" s="9"/>
      <c r="J229" s="9"/>
      <c r="K229" s="9"/>
      <c r="L229" s="9"/>
      <c r="M229" s="9"/>
      <c r="N229" s="9"/>
    </row>
    <row r="230" spans="1:14" x14ac:dyDescent="0.3">
      <c r="A230" s="9"/>
      <c r="B230" s="9"/>
      <c r="C230" s="9"/>
      <c r="D230" s="9"/>
      <c r="E230" s="9"/>
      <c r="F230" s="9"/>
      <c r="G230" s="9"/>
      <c r="H230" s="9"/>
      <c r="I230" s="9"/>
      <c r="J230" s="9"/>
      <c r="K230" s="9"/>
      <c r="L230" s="9"/>
      <c r="M230" s="9"/>
      <c r="N230" s="9"/>
    </row>
    <row r="231" spans="1:14" x14ac:dyDescent="0.3">
      <c r="A231" s="9"/>
      <c r="B231" s="9"/>
      <c r="C231" s="9"/>
      <c r="D231" s="9"/>
      <c r="E231" s="9"/>
      <c r="F231" s="9"/>
      <c r="G231" s="9"/>
      <c r="H231" s="9"/>
      <c r="I231" s="9"/>
      <c r="J231" s="9"/>
      <c r="K231" s="9"/>
      <c r="L231" s="9"/>
      <c r="M231" s="9"/>
      <c r="N231" s="9"/>
    </row>
    <row r="232" spans="1:14" x14ac:dyDescent="0.3">
      <c r="A232" s="9"/>
      <c r="B232" s="9"/>
      <c r="C232" s="9"/>
      <c r="D232" s="9"/>
      <c r="E232" s="9"/>
      <c r="F232" s="9"/>
      <c r="G232" s="9"/>
      <c r="H232" s="9"/>
      <c r="I232" s="9"/>
      <c r="J232" s="9"/>
      <c r="K232" s="9"/>
      <c r="L232" s="9"/>
      <c r="M232" s="9"/>
      <c r="N232" s="9"/>
    </row>
    <row r="233" spans="1:14" x14ac:dyDescent="0.3">
      <c r="A233" s="9"/>
      <c r="B233" s="9"/>
      <c r="C233" s="9"/>
      <c r="D233" s="9"/>
      <c r="E233" s="9"/>
      <c r="F233" s="9"/>
      <c r="G233" s="9"/>
      <c r="H233" s="9"/>
      <c r="I233" s="9"/>
      <c r="J233" s="9"/>
      <c r="K233" s="9"/>
      <c r="L233" s="9"/>
      <c r="M233" s="9"/>
      <c r="N233" s="9"/>
    </row>
    <row r="234" spans="1:14" x14ac:dyDescent="0.3">
      <c r="A234" s="9"/>
      <c r="B234" s="9"/>
      <c r="C234" s="9"/>
      <c r="D234" s="9"/>
      <c r="E234" s="9"/>
      <c r="F234" s="9"/>
      <c r="G234" s="9"/>
      <c r="H234" s="9"/>
      <c r="I234" s="9"/>
      <c r="J234" s="9"/>
      <c r="K234" s="9"/>
      <c r="L234" s="9"/>
      <c r="M234" s="9"/>
      <c r="N234" s="9"/>
    </row>
    <row r="235" spans="1:14" x14ac:dyDescent="0.3">
      <c r="A235" s="9"/>
      <c r="B235" s="9"/>
      <c r="C235" s="9"/>
      <c r="D235" s="9"/>
      <c r="E235" s="9"/>
      <c r="F235" s="9"/>
      <c r="G235" s="9"/>
      <c r="H235" s="9"/>
      <c r="I235" s="9"/>
      <c r="J235" s="9"/>
      <c r="K235" s="9"/>
      <c r="L235" s="9"/>
      <c r="M235" s="9"/>
      <c r="N235" s="9"/>
    </row>
    <row r="236" spans="1:14" x14ac:dyDescent="0.3">
      <c r="A236" s="9"/>
      <c r="B236" s="9"/>
      <c r="C236" s="9"/>
      <c r="D236" s="9"/>
      <c r="E236" s="9"/>
      <c r="F236" s="9"/>
      <c r="G236" s="9"/>
      <c r="H236" s="9"/>
      <c r="I236" s="9"/>
      <c r="J236" s="9"/>
      <c r="K236" s="9"/>
      <c r="L236" s="9"/>
      <c r="M236" s="9"/>
      <c r="N236" s="9"/>
    </row>
    <row r="237" spans="1:14" x14ac:dyDescent="0.3">
      <c r="A237" s="9"/>
      <c r="B237" s="9"/>
      <c r="C237" s="9"/>
      <c r="D237" s="9"/>
      <c r="E237" s="9"/>
      <c r="F237" s="9"/>
      <c r="G237" s="9"/>
      <c r="H237" s="9"/>
      <c r="I237" s="9"/>
      <c r="J237" s="9"/>
      <c r="K237" s="9"/>
      <c r="L237" s="9"/>
      <c r="M237" s="9"/>
      <c r="N237" s="9"/>
    </row>
    <row r="238" spans="1:14" x14ac:dyDescent="0.3">
      <c r="A238" s="9"/>
      <c r="B238" s="9"/>
      <c r="C238" s="9"/>
      <c r="D238" s="9"/>
      <c r="E238" s="9"/>
      <c r="F238" s="9"/>
      <c r="G238" s="9"/>
      <c r="H238" s="9"/>
      <c r="I238" s="9"/>
      <c r="J238" s="9"/>
      <c r="K238" s="9"/>
      <c r="L238" s="9"/>
      <c r="M238" s="9"/>
      <c r="N238" s="9"/>
    </row>
    <row r="239" spans="1:14" x14ac:dyDescent="0.3">
      <c r="A239" s="9"/>
      <c r="B239" s="9"/>
      <c r="C239" s="9"/>
      <c r="D239" s="9"/>
      <c r="E239" s="9"/>
      <c r="F239" s="9"/>
      <c r="G239" s="9"/>
      <c r="H239" s="9"/>
      <c r="I239" s="9"/>
      <c r="J239" s="9"/>
      <c r="K239" s="9"/>
      <c r="L239" s="9"/>
      <c r="M239" s="9"/>
      <c r="N239" s="9"/>
    </row>
    <row r="240" spans="1:14" x14ac:dyDescent="0.3">
      <c r="A240" s="9"/>
      <c r="B240" s="9"/>
      <c r="C240" s="9"/>
      <c r="D240" s="9"/>
      <c r="E240" s="9"/>
      <c r="F240" s="9"/>
      <c r="G240" s="9"/>
      <c r="H240" s="9"/>
      <c r="I240" s="9"/>
      <c r="J240" s="9"/>
      <c r="K240" s="9"/>
      <c r="L240" s="9"/>
      <c r="M240" s="9"/>
      <c r="N240" s="9"/>
    </row>
    <row r="241" spans="1:14" x14ac:dyDescent="0.3">
      <c r="A241" s="9"/>
      <c r="B241" s="9"/>
      <c r="C241" s="9"/>
      <c r="D241" s="9"/>
      <c r="E241" s="9"/>
      <c r="F241" s="9"/>
      <c r="G241" s="9"/>
      <c r="H241" s="9"/>
      <c r="I241" s="9"/>
      <c r="J241" s="9"/>
      <c r="K241" s="9"/>
      <c r="L241" s="9"/>
      <c r="M241" s="9"/>
      <c r="N241" s="9"/>
    </row>
    <row r="242" spans="1:14" x14ac:dyDescent="0.3">
      <c r="A242" s="9"/>
      <c r="B242" s="9"/>
      <c r="C242" s="9"/>
      <c r="D242" s="9"/>
      <c r="E242" s="9"/>
      <c r="F242" s="9"/>
      <c r="G242" s="9"/>
      <c r="H242" s="9"/>
      <c r="I242" s="9"/>
      <c r="J242" s="9"/>
      <c r="K242" s="9"/>
      <c r="L242" s="9"/>
      <c r="M242" s="9"/>
      <c r="N242" s="9"/>
    </row>
    <row r="243" spans="1:14" x14ac:dyDescent="0.3">
      <c r="A243" s="9"/>
      <c r="B243" s="9"/>
      <c r="C243" s="9"/>
      <c r="D243" s="9"/>
      <c r="E243" s="9"/>
      <c r="F243" s="9"/>
      <c r="G243" s="9"/>
      <c r="H243" s="9"/>
      <c r="I243" s="9"/>
      <c r="J243" s="9"/>
      <c r="K243" s="9"/>
      <c r="L243" s="9"/>
      <c r="M243" s="9"/>
      <c r="N243" s="9"/>
    </row>
    <row r="244" spans="1:14" x14ac:dyDescent="0.3">
      <c r="A244" s="9"/>
      <c r="B244" s="9"/>
      <c r="C244" s="9"/>
      <c r="D244" s="9"/>
      <c r="E244" s="9"/>
      <c r="F244" s="9"/>
      <c r="G244" s="9"/>
      <c r="H244" s="9"/>
      <c r="I244" s="9"/>
      <c r="J244" s="9"/>
      <c r="K244" s="9"/>
      <c r="L244" s="9"/>
      <c r="M244" s="9"/>
      <c r="N244" s="9"/>
    </row>
    <row r="245" spans="1:14" x14ac:dyDescent="0.3">
      <c r="A245" s="9"/>
      <c r="B245" s="9"/>
      <c r="C245" s="9"/>
      <c r="D245" s="9"/>
      <c r="E245" s="9"/>
      <c r="F245" s="9"/>
      <c r="G245" s="9"/>
      <c r="H245" s="9"/>
      <c r="I245" s="9"/>
      <c r="J245" s="9"/>
      <c r="K245" s="9"/>
      <c r="L245" s="9"/>
      <c r="M245" s="9"/>
      <c r="N245" s="9"/>
    </row>
    <row r="246" spans="1:14" x14ac:dyDescent="0.3">
      <c r="A246" s="9"/>
      <c r="B246" s="9"/>
      <c r="C246" s="9"/>
      <c r="D246" s="9"/>
      <c r="E246" s="9"/>
      <c r="F246" s="9"/>
      <c r="G246" s="9"/>
      <c r="H246" s="9"/>
      <c r="I246" s="9"/>
      <c r="J246" s="9"/>
      <c r="K246" s="9"/>
      <c r="L246" s="9"/>
      <c r="M246" s="9"/>
      <c r="N246" s="9"/>
    </row>
    <row r="247" spans="1:14" x14ac:dyDescent="0.3">
      <c r="A247" s="9"/>
      <c r="B247" s="9"/>
      <c r="C247" s="9"/>
      <c r="D247" s="9"/>
      <c r="E247" s="9"/>
      <c r="F247" s="9"/>
      <c r="G247" s="9"/>
      <c r="H247" s="9"/>
      <c r="I247" s="9"/>
      <c r="J247" s="9"/>
      <c r="K247" s="9"/>
      <c r="L247" s="9"/>
      <c r="M247" s="9"/>
      <c r="N247" s="9"/>
    </row>
    <row r="248" spans="1:14" x14ac:dyDescent="0.3">
      <c r="A248" s="9"/>
      <c r="B248" s="9"/>
      <c r="C248" s="9"/>
      <c r="D248" s="9"/>
      <c r="E248" s="9"/>
      <c r="F248" s="9"/>
      <c r="G248" s="9"/>
      <c r="H248" s="9"/>
      <c r="I248" s="9"/>
      <c r="J248" s="9"/>
      <c r="K248" s="9"/>
      <c r="L248" s="9"/>
      <c r="M248" s="9"/>
      <c r="N248" s="9"/>
    </row>
    <row r="249" spans="1:14" x14ac:dyDescent="0.3">
      <c r="A249" s="9"/>
      <c r="B249" s="9"/>
      <c r="C249" s="9"/>
      <c r="D249" s="9"/>
      <c r="E249" s="9"/>
      <c r="F249" s="9"/>
      <c r="G249" s="9"/>
      <c r="H249" s="9"/>
      <c r="I249" s="9"/>
      <c r="J249" s="9"/>
      <c r="K249" s="9"/>
      <c r="L249" s="9"/>
      <c r="M249" s="9"/>
      <c r="N249" s="9"/>
    </row>
    <row r="250" spans="1:14" x14ac:dyDescent="0.3">
      <c r="A250" s="9"/>
      <c r="B250" s="9"/>
      <c r="C250" s="9"/>
      <c r="D250" s="9"/>
      <c r="E250" s="9"/>
      <c r="F250" s="9"/>
      <c r="G250" s="9"/>
      <c r="H250" s="9"/>
      <c r="I250" s="9"/>
      <c r="J250" s="9"/>
      <c r="K250" s="9"/>
      <c r="L250" s="9"/>
      <c r="M250" s="9"/>
      <c r="N250" s="9"/>
    </row>
    <row r="251" spans="1:14" x14ac:dyDescent="0.3">
      <c r="A251" s="9"/>
      <c r="B251" s="9"/>
      <c r="C251" s="9"/>
      <c r="D251" s="9"/>
      <c r="E251" s="9"/>
      <c r="F251" s="9"/>
      <c r="G251" s="9"/>
      <c r="H251" s="9"/>
      <c r="I251" s="9"/>
      <c r="J251" s="9"/>
      <c r="K251" s="9"/>
      <c r="L251" s="9"/>
      <c r="M251" s="9"/>
      <c r="N251" s="9"/>
    </row>
    <row r="252" spans="1:14" x14ac:dyDescent="0.3">
      <c r="A252" s="9"/>
      <c r="B252" s="9"/>
      <c r="C252" s="9"/>
      <c r="D252" s="9"/>
      <c r="E252" s="9"/>
      <c r="F252" s="9"/>
      <c r="G252" s="9"/>
      <c r="H252" s="9"/>
      <c r="I252" s="9"/>
      <c r="J252" s="9"/>
      <c r="K252" s="9"/>
      <c r="L252" s="9"/>
      <c r="M252" s="9"/>
      <c r="N252" s="9"/>
    </row>
    <row r="253" spans="1:14" x14ac:dyDescent="0.3">
      <c r="A253" s="9"/>
      <c r="B253" s="9"/>
      <c r="C253" s="9"/>
      <c r="D253" s="9"/>
      <c r="E253" s="9"/>
      <c r="F253" s="9"/>
      <c r="G253" s="9"/>
      <c r="H253" s="9"/>
      <c r="I253" s="9"/>
      <c r="J253" s="9"/>
      <c r="K253" s="9"/>
      <c r="L253" s="9"/>
      <c r="M253" s="9"/>
      <c r="N253" s="9"/>
    </row>
    <row r="254" spans="1:14" x14ac:dyDescent="0.3">
      <c r="A254" s="9"/>
      <c r="B254" s="9"/>
      <c r="C254" s="9"/>
      <c r="D254" s="9"/>
      <c r="E254" s="9"/>
      <c r="F254" s="9"/>
      <c r="G254" s="9"/>
      <c r="H254" s="9"/>
      <c r="I254" s="9"/>
      <c r="J254" s="9"/>
      <c r="K254" s="9"/>
      <c r="L254" s="9"/>
      <c r="M254" s="9"/>
      <c r="N254" s="9"/>
    </row>
    <row r="255" spans="1:14" x14ac:dyDescent="0.3">
      <c r="A255" s="9"/>
      <c r="B255" s="9"/>
      <c r="C255" s="9"/>
      <c r="D255" s="9"/>
      <c r="E255" s="9"/>
      <c r="F255" s="9"/>
      <c r="G255" s="9"/>
      <c r="H255" s="9"/>
      <c r="I255" s="9"/>
      <c r="J255" s="9"/>
      <c r="K255" s="9"/>
      <c r="L255" s="9"/>
      <c r="M255" s="9"/>
      <c r="N255" s="9"/>
    </row>
    <row r="256" spans="1:14" x14ac:dyDescent="0.3">
      <c r="A256" s="9"/>
      <c r="B256" s="9"/>
      <c r="C256" s="9"/>
      <c r="D256" s="9"/>
      <c r="E256" s="9"/>
      <c r="F256" s="9"/>
      <c r="G256" s="9"/>
      <c r="H256" s="9"/>
      <c r="I256" s="9"/>
      <c r="J256" s="9"/>
      <c r="K256" s="9"/>
      <c r="L256" s="9"/>
      <c r="M256" s="9"/>
      <c r="N256" s="9"/>
    </row>
    <row r="257" spans="1:14" x14ac:dyDescent="0.3">
      <c r="A257" s="9"/>
      <c r="B257" s="9"/>
      <c r="C257" s="9"/>
      <c r="D257" s="9"/>
      <c r="E257" s="9"/>
      <c r="F257" s="9"/>
      <c r="G257" s="9"/>
      <c r="H257" s="9"/>
      <c r="I257" s="9"/>
      <c r="J257" s="9"/>
      <c r="K257" s="9"/>
      <c r="L257" s="9"/>
      <c r="M257" s="9"/>
      <c r="N257" s="9"/>
    </row>
    <row r="258" spans="1:14" x14ac:dyDescent="0.3">
      <c r="A258" s="9"/>
      <c r="B258" s="9"/>
      <c r="C258" s="9"/>
      <c r="D258" s="9"/>
      <c r="E258" s="9"/>
      <c r="F258" s="9"/>
      <c r="G258" s="9"/>
      <c r="H258" s="9"/>
      <c r="I258" s="9"/>
      <c r="J258" s="9"/>
      <c r="K258" s="9"/>
      <c r="L258" s="9"/>
      <c r="M258" s="9"/>
      <c r="N258" s="9"/>
    </row>
    <row r="259" spans="1:14" x14ac:dyDescent="0.3">
      <c r="A259" s="9"/>
      <c r="B259" s="9"/>
      <c r="C259" s="9"/>
      <c r="D259" s="9"/>
      <c r="E259" s="9"/>
      <c r="F259" s="9"/>
      <c r="G259" s="9"/>
      <c r="H259" s="9"/>
      <c r="I259" s="9"/>
      <c r="J259" s="9"/>
      <c r="K259" s="9"/>
      <c r="L259" s="9"/>
      <c r="M259" s="9"/>
      <c r="N259" s="9"/>
    </row>
    <row r="260" spans="1:14" x14ac:dyDescent="0.3">
      <c r="A260" s="9"/>
      <c r="B260" s="9"/>
      <c r="C260" s="9"/>
      <c r="D260" s="9"/>
      <c r="E260" s="9"/>
      <c r="F260" s="9"/>
      <c r="G260" s="9"/>
      <c r="H260" s="9"/>
      <c r="I260" s="9"/>
      <c r="J260" s="9"/>
      <c r="K260" s="9"/>
      <c r="L260" s="9"/>
      <c r="M260" s="9"/>
      <c r="N260" s="9"/>
    </row>
    <row r="261" spans="1:14" x14ac:dyDescent="0.3">
      <c r="A261" s="9"/>
      <c r="B261" s="9"/>
      <c r="C261" s="9"/>
      <c r="D261" s="9"/>
      <c r="E261" s="9"/>
      <c r="F261" s="9"/>
      <c r="G261" s="9"/>
      <c r="H261" s="9"/>
      <c r="I261" s="9"/>
      <c r="J261" s="9"/>
      <c r="K261" s="9"/>
      <c r="L261" s="9"/>
      <c r="M261" s="9"/>
      <c r="N261" s="9"/>
    </row>
    <row r="262" spans="1:14" x14ac:dyDescent="0.3">
      <c r="A262" s="9"/>
      <c r="B262" s="9"/>
      <c r="C262" s="9"/>
      <c r="D262" s="9"/>
      <c r="E262" s="9"/>
      <c r="F262" s="9"/>
      <c r="G262" s="9"/>
      <c r="H262" s="9"/>
      <c r="I262" s="9"/>
      <c r="J262" s="9"/>
      <c r="K262" s="9"/>
      <c r="L262" s="9"/>
      <c r="M262" s="9"/>
      <c r="N262" s="9"/>
    </row>
    <row r="263" spans="1:14" x14ac:dyDescent="0.3">
      <c r="A263" s="9"/>
      <c r="B263" s="9"/>
      <c r="C263" s="9"/>
      <c r="D263" s="9"/>
      <c r="E263" s="9"/>
      <c r="F263" s="9"/>
      <c r="G263" s="9"/>
      <c r="H263" s="9"/>
      <c r="I263" s="9"/>
      <c r="J263" s="9"/>
      <c r="K263" s="9"/>
      <c r="L263" s="9"/>
      <c r="M263" s="9"/>
      <c r="N263" s="9"/>
    </row>
    <row r="264" spans="1:14" x14ac:dyDescent="0.3">
      <c r="A264" s="9"/>
      <c r="B264" s="9"/>
      <c r="C264" s="9"/>
      <c r="D264" s="9"/>
      <c r="E264" s="9"/>
      <c r="F264" s="9"/>
      <c r="G264" s="9"/>
      <c r="H264" s="9"/>
      <c r="I264" s="9"/>
      <c r="J264" s="9"/>
      <c r="K264" s="9"/>
      <c r="L264" s="9"/>
      <c r="M264" s="9"/>
      <c r="N264" s="9"/>
    </row>
    <row r="265" spans="1:14" x14ac:dyDescent="0.3">
      <c r="A265" s="9"/>
      <c r="B265" s="9"/>
      <c r="C265" s="9"/>
      <c r="D265" s="9"/>
      <c r="E265" s="9"/>
      <c r="F265" s="9"/>
      <c r="G265" s="9"/>
      <c r="H265" s="9"/>
      <c r="I265" s="9"/>
      <c r="J265" s="9"/>
      <c r="K265" s="9"/>
      <c r="L265" s="9"/>
      <c r="M265" s="9"/>
      <c r="N265" s="9"/>
    </row>
    <row r="266" spans="1:14" x14ac:dyDescent="0.3">
      <c r="A266" s="9"/>
      <c r="B266" s="9"/>
      <c r="C266" s="9"/>
      <c r="D266" s="9"/>
      <c r="E266" s="9"/>
      <c r="F266" s="9"/>
      <c r="G266" s="9"/>
      <c r="H266" s="9"/>
      <c r="I266" s="9"/>
      <c r="J266" s="9"/>
      <c r="K266" s="9"/>
      <c r="L266" s="9"/>
      <c r="M266" s="9"/>
      <c r="N266" s="9"/>
    </row>
    <row r="267" spans="1:14" x14ac:dyDescent="0.3">
      <c r="A267" s="9"/>
      <c r="B267" s="9"/>
      <c r="C267" s="9"/>
      <c r="D267" s="9"/>
      <c r="E267" s="9"/>
      <c r="F267" s="9"/>
      <c r="G267" s="9"/>
      <c r="H267" s="9"/>
      <c r="I267" s="9"/>
      <c r="J267" s="9"/>
      <c r="K267" s="9"/>
      <c r="L267" s="9"/>
      <c r="M267" s="9"/>
      <c r="N267" s="9"/>
    </row>
    <row r="268" spans="1:14" x14ac:dyDescent="0.3">
      <c r="A268" s="9"/>
      <c r="B268" s="9"/>
      <c r="C268" s="9"/>
      <c r="D268" s="9"/>
      <c r="E268" s="9"/>
      <c r="F268" s="9"/>
      <c r="G268" s="9"/>
      <c r="H268" s="9"/>
      <c r="I268" s="9"/>
      <c r="J268" s="9"/>
      <c r="K268" s="9"/>
      <c r="L268" s="9"/>
      <c r="M268" s="9"/>
      <c r="N268" s="9"/>
    </row>
    <row r="269" spans="1:14" x14ac:dyDescent="0.3">
      <c r="A269" s="9"/>
      <c r="B269" s="9"/>
      <c r="C269" s="9"/>
      <c r="D269" s="9"/>
      <c r="E269" s="9"/>
      <c r="F269" s="9"/>
      <c r="G269" s="9"/>
      <c r="H269" s="9"/>
      <c r="I269" s="9"/>
      <c r="J269" s="9"/>
      <c r="K269" s="9"/>
      <c r="L269" s="9"/>
      <c r="M269" s="9"/>
      <c r="N269" s="9"/>
    </row>
    <row r="270" spans="1:14" x14ac:dyDescent="0.3">
      <c r="A270" s="9"/>
      <c r="B270" s="9"/>
      <c r="C270" s="9"/>
      <c r="D270" s="9"/>
      <c r="E270" s="9"/>
      <c r="F270" s="9"/>
      <c r="G270" s="9"/>
      <c r="H270" s="9"/>
      <c r="I270" s="9"/>
      <c r="J270" s="9"/>
      <c r="K270" s="9"/>
      <c r="L270" s="9"/>
      <c r="M270" s="9"/>
      <c r="N270" s="9"/>
    </row>
    <row r="271" spans="1:14" x14ac:dyDescent="0.3">
      <c r="A271" s="9"/>
      <c r="B271" s="9"/>
      <c r="C271" s="9"/>
      <c r="D271" s="9"/>
      <c r="E271" s="9"/>
      <c r="F271" s="9"/>
      <c r="G271" s="9"/>
      <c r="H271" s="9"/>
      <c r="I271" s="9"/>
      <c r="J271" s="9"/>
      <c r="K271" s="9"/>
      <c r="L271" s="9"/>
      <c r="M271" s="9"/>
      <c r="N271" s="9"/>
    </row>
    <row r="272" spans="1:14" x14ac:dyDescent="0.3">
      <c r="A272" s="9"/>
      <c r="B272" s="9"/>
      <c r="C272" s="9"/>
      <c r="D272" s="9"/>
      <c r="E272" s="9"/>
      <c r="F272" s="9"/>
      <c r="G272" s="9"/>
      <c r="H272" s="9"/>
      <c r="I272" s="9"/>
      <c r="J272" s="9"/>
      <c r="K272" s="9"/>
      <c r="L272" s="9"/>
      <c r="M272" s="9"/>
      <c r="N272" s="9"/>
    </row>
    <row r="273" spans="1:14" x14ac:dyDescent="0.3">
      <c r="A273" s="9"/>
      <c r="B273" s="9"/>
      <c r="C273" s="9"/>
      <c r="D273" s="9"/>
      <c r="E273" s="9"/>
      <c r="F273" s="9"/>
      <c r="G273" s="9"/>
      <c r="H273" s="9"/>
      <c r="I273" s="9"/>
      <c r="J273" s="9"/>
      <c r="K273" s="9"/>
      <c r="L273" s="9"/>
      <c r="M273" s="9"/>
      <c r="N273" s="9"/>
    </row>
    <row r="274" spans="1:14" x14ac:dyDescent="0.3">
      <c r="A274" s="9"/>
      <c r="B274" s="9"/>
      <c r="C274" s="9"/>
      <c r="D274" s="9"/>
      <c r="E274" s="9"/>
      <c r="F274" s="9"/>
      <c r="G274" s="9"/>
      <c r="H274" s="9"/>
      <c r="I274" s="9"/>
      <c r="J274" s="9"/>
      <c r="K274" s="9"/>
      <c r="L274" s="9"/>
      <c r="M274" s="9"/>
      <c r="N274" s="9"/>
    </row>
    <row r="275" spans="1:14" x14ac:dyDescent="0.3">
      <c r="A275" s="9"/>
      <c r="B275" s="9"/>
      <c r="C275" s="9"/>
      <c r="D275" s="9"/>
      <c r="E275" s="9"/>
      <c r="F275" s="9"/>
      <c r="G275" s="9"/>
      <c r="H275" s="9"/>
      <c r="I275" s="9"/>
      <c r="J275" s="9"/>
      <c r="K275" s="9"/>
      <c r="L275" s="9"/>
      <c r="M275" s="9"/>
      <c r="N275" s="9"/>
    </row>
    <row r="276" spans="1:14" x14ac:dyDescent="0.3">
      <c r="A276" s="9"/>
      <c r="B276" s="9"/>
      <c r="C276" s="9"/>
      <c r="D276" s="9"/>
      <c r="E276" s="9"/>
      <c r="F276" s="9"/>
      <c r="G276" s="9"/>
      <c r="H276" s="9"/>
      <c r="I276" s="9"/>
      <c r="J276" s="9"/>
      <c r="K276" s="9"/>
      <c r="L276" s="9"/>
      <c r="M276" s="9"/>
      <c r="N276" s="9"/>
    </row>
    <row r="277" spans="1:14" x14ac:dyDescent="0.3">
      <c r="A277" s="9"/>
      <c r="B277" s="9"/>
      <c r="C277" s="9"/>
      <c r="D277" s="9"/>
      <c r="E277" s="9"/>
      <c r="F277" s="9"/>
      <c r="G277" s="9"/>
      <c r="H277" s="9"/>
      <c r="I277" s="9"/>
      <c r="J277" s="9"/>
      <c r="K277" s="9"/>
      <c r="L277" s="9"/>
      <c r="M277" s="9"/>
      <c r="N277" s="9"/>
    </row>
    <row r="278" spans="1:14" x14ac:dyDescent="0.3">
      <c r="A278" s="9"/>
      <c r="B278" s="9"/>
      <c r="C278" s="9"/>
      <c r="D278" s="9"/>
      <c r="E278" s="9"/>
      <c r="F278" s="9"/>
      <c r="G278" s="9"/>
      <c r="H278" s="9"/>
      <c r="I278" s="9"/>
      <c r="J278" s="9"/>
      <c r="K278" s="9"/>
      <c r="L278" s="9"/>
      <c r="M278" s="9"/>
      <c r="N278" s="9"/>
    </row>
    <row r="279" spans="1:14" x14ac:dyDescent="0.3">
      <c r="A279" s="9"/>
      <c r="B279" s="9"/>
      <c r="C279" s="9"/>
      <c r="D279" s="9"/>
      <c r="E279" s="9"/>
      <c r="F279" s="9"/>
      <c r="G279" s="9"/>
      <c r="H279" s="9"/>
      <c r="I279" s="9"/>
      <c r="J279" s="9"/>
      <c r="K279" s="9"/>
      <c r="L279" s="9"/>
      <c r="M279" s="9"/>
      <c r="N279" s="9"/>
    </row>
    <row r="280" spans="1:14" x14ac:dyDescent="0.3">
      <c r="A280" s="9"/>
      <c r="B280" s="9"/>
      <c r="C280" s="9"/>
      <c r="D280" s="9"/>
      <c r="E280" s="9"/>
      <c r="F280" s="9"/>
      <c r="G280" s="9"/>
      <c r="H280" s="9"/>
      <c r="I280" s="9"/>
      <c r="J280" s="9"/>
      <c r="K280" s="9"/>
      <c r="L280" s="9"/>
      <c r="M280" s="9"/>
      <c r="N280" s="9"/>
    </row>
    <row r="281" spans="1:14" x14ac:dyDescent="0.3">
      <c r="A281" s="9"/>
      <c r="B281" s="9"/>
      <c r="C281" s="9"/>
      <c r="D281" s="9"/>
      <c r="E281" s="9"/>
      <c r="F281" s="9"/>
      <c r="G281" s="9"/>
      <c r="H281" s="9"/>
      <c r="I281" s="9"/>
      <c r="J281" s="9"/>
      <c r="K281" s="9"/>
      <c r="L281" s="9"/>
      <c r="M281" s="9"/>
      <c r="N281" s="9"/>
    </row>
    <row r="282" spans="1:14" x14ac:dyDescent="0.3">
      <c r="A282" s="9"/>
      <c r="B282" s="9"/>
      <c r="C282" s="9"/>
      <c r="D282" s="9"/>
      <c r="E282" s="9"/>
      <c r="F282" s="9"/>
      <c r="G282" s="9"/>
      <c r="H282" s="9"/>
      <c r="I282" s="9"/>
      <c r="J282" s="9"/>
      <c r="K282" s="9"/>
      <c r="L282" s="9"/>
      <c r="M282" s="9"/>
      <c r="N282" s="9"/>
    </row>
    <row r="283" spans="1:14" x14ac:dyDescent="0.3">
      <c r="A283" s="9"/>
      <c r="B283" s="9"/>
      <c r="C283" s="9"/>
      <c r="D283" s="9"/>
      <c r="E283" s="9"/>
      <c r="F283" s="9"/>
      <c r="G283" s="9"/>
      <c r="H283" s="9"/>
      <c r="I283" s="9"/>
      <c r="J283" s="9"/>
      <c r="K283" s="9"/>
      <c r="L283" s="9"/>
      <c r="M283" s="9"/>
      <c r="N283" s="9"/>
    </row>
    <row r="284" spans="1:14" x14ac:dyDescent="0.3">
      <c r="A284" s="9"/>
      <c r="B284" s="9"/>
      <c r="C284" s="9"/>
      <c r="D284" s="9"/>
      <c r="E284" s="9"/>
      <c r="F284" s="9"/>
      <c r="G284" s="9"/>
      <c r="H284" s="9"/>
      <c r="I284" s="9"/>
      <c r="J284" s="9"/>
      <c r="K284" s="9"/>
      <c r="L284" s="9"/>
      <c r="M284" s="9"/>
      <c r="N284" s="9"/>
    </row>
    <row r="285" spans="1:14" x14ac:dyDescent="0.3">
      <c r="A285" s="9"/>
      <c r="B285" s="9"/>
      <c r="C285" s="9"/>
      <c r="D285" s="9"/>
      <c r="E285" s="9"/>
      <c r="F285" s="9"/>
      <c r="G285" s="9"/>
      <c r="H285" s="9"/>
      <c r="I285" s="9"/>
      <c r="J285" s="9"/>
      <c r="K285" s="9"/>
      <c r="L285" s="9"/>
      <c r="M285" s="9"/>
      <c r="N285" s="9"/>
    </row>
    <row r="286" spans="1:14" x14ac:dyDescent="0.3">
      <c r="A286" s="9"/>
      <c r="B286" s="9"/>
      <c r="C286" s="9"/>
      <c r="D286" s="9"/>
      <c r="E286" s="9"/>
      <c r="F286" s="9"/>
      <c r="G286" s="9"/>
      <c r="H286" s="9"/>
      <c r="I286" s="9"/>
      <c r="J286" s="9"/>
      <c r="K286" s="9"/>
      <c r="L286" s="9"/>
      <c r="M286" s="9"/>
      <c r="N286" s="9"/>
    </row>
    <row r="287" spans="1:14" x14ac:dyDescent="0.3">
      <c r="A287" s="9"/>
      <c r="B287" s="9"/>
      <c r="C287" s="9"/>
      <c r="D287" s="9"/>
      <c r="E287" s="9"/>
      <c r="F287" s="9"/>
      <c r="G287" s="9"/>
      <c r="H287" s="9"/>
      <c r="I287" s="9"/>
      <c r="J287" s="9"/>
      <c r="K287" s="9"/>
      <c r="L287" s="9"/>
      <c r="M287" s="9"/>
      <c r="N287" s="9"/>
    </row>
    <row r="288" spans="1:14" x14ac:dyDescent="0.3">
      <c r="A288" s="9"/>
      <c r="B288" s="9"/>
      <c r="C288" s="9"/>
      <c r="D288" s="9"/>
      <c r="E288" s="9"/>
      <c r="F288" s="9"/>
      <c r="G288" s="9"/>
      <c r="H288" s="9"/>
      <c r="I288" s="9"/>
      <c r="J288" s="9"/>
      <c r="K288" s="9"/>
      <c r="L288" s="9"/>
      <c r="M288" s="9"/>
      <c r="N288" s="9"/>
    </row>
    <row r="289" spans="1:14" x14ac:dyDescent="0.3">
      <c r="A289" s="9"/>
      <c r="B289" s="9"/>
      <c r="C289" s="9"/>
      <c r="D289" s="9"/>
      <c r="E289" s="9"/>
      <c r="F289" s="9"/>
      <c r="G289" s="9"/>
      <c r="H289" s="9"/>
      <c r="I289" s="9"/>
      <c r="J289" s="9"/>
      <c r="K289" s="9"/>
      <c r="L289" s="9"/>
      <c r="M289" s="9"/>
      <c r="N289" s="9"/>
    </row>
    <row r="290" spans="1:14" x14ac:dyDescent="0.3">
      <c r="A290" s="9"/>
      <c r="B290" s="9"/>
      <c r="C290" s="9"/>
      <c r="D290" s="9"/>
      <c r="E290" s="9"/>
      <c r="F290" s="9"/>
      <c r="G290" s="9"/>
      <c r="H290" s="9"/>
      <c r="I290" s="9"/>
      <c r="J290" s="9"/>
      <c r="K290" s="9"/>
      <c r="L290" s="9"/>
      <c r="M290" s="9"/>
      <c r="N290" s="9"/>
    </row>
    <row r="291" spans="1:14" x14ac:dyDescent="0.3">
      <c r="A291" s="9"/>
      <c r="B291" s="9"/>
      <c r="C291" s="9"/>
      <c r="D291" s="9"/>
      <c r="E291" s="9"/>
      <c r="F291" s="9"/>
      <c r="G291" s="9"/>
      <c r="H291" s="9"/>
      <c r="I291" s="9"/>
      <c r="J291" s="9"/>
      <c r="K291" s="9"/>
      <c r="L291" s="9"/>
      <c r="M291" s="9"/>
      <c r="N291" s="9"/>
    </row>
    <row r="292" spans="1:14" x14ac:dyDescent="0.3">
      <c r="A292" s="9"/>
      <c r="B292" s="9"/>
      <c r="C292" s="9"/>
      <c r="D292" s="9"/>
      <c r="E292" s="9"/>
      <c r="F292" s="9"/>
      <c r="G292" s="9"/>
      <c r="H292" s="9"/>
      <c r="I292" s="9"/>
      <c r="J292" s="9"/>
      <c r="K292" s="9"/>
      <c r="L292" s="9"/>
      <c r="M292" s="9"/>
      <c r="N292" s="9"/>
    </row>
    <row r="293" spans="1:14" x14ac:dyDescent="0.3">
      <c r="A293" s="9"/>
      <c r="B293" s="9"/>
      <c r="C293" s="9"/>
      <c r="D293" s="9"/>
      <c r="E293" s="9"/>
      <c r="F293" s="9"/>
      <c r="G293" s="9"/>
      <c r="H293" s="9"/>
      <c r="I293" s="9"/>
      <c r="J293" s="9"/>
      <c r="K293" s="9"/>
      <c r="L293" s="9"/>
      <c r="M293" s="9"/>
      <c r="N293" s="9"/>
    </row>
    <row r="294" spans="1:14" x14ac:dyDescent="0.3">
      <c r="A294" s="9"/>
      <c r="B294" s="9"/>
      <c r="C294" s="9"/>
      <c r="D294" s="9"/>
      <c r="E294" s="9"/>
      <c r="F294" s="9"/>
      <c r="G294" s="9"/>
      <c r="H294" s="9"/>
      <c r="I294" s="9"/>
      <c r="J294" s="9"/>
      <c r="K294" s="9"/>
      <c r="L294" s="9"/>
      <c r="M294" s="9"/>
      <c r="N294" s="9"/>
    </row>
    <row r="295" spans="1:14" x14ac:dyDescent="0.3">
      <c r="A295" s="9"/>
      <c r="B295" s="9"/>
      <c r="C295" s="9"/>
      <c r="D295" s="9"/>
      <c r="E295" s="9"/>
      <c r="F295" s="9"/>
      <c r="G295" s="9"/>
      <c r="H295" s="9"/>
      <c r="I295" s="9"/>
      <c r="J295" s="9"/>
      <c r="K295" s="9"/>
      <c r="L295" s="9"/>
      <c r="M295" s="9"/>
      <c r="N295" s="9"/>
    </row>
    <row r="296" spans="1:14" x14ac:dyDescent="0.3">
      <c r="A296" s="9"/>
      <c r="B296" s="9"/>
      <c r="C296" s="9"/>
      <c r="D296" s="9"/>
      <c r="E296" s="9"/>
      <c r="F296" s="9"/>
      <c r="G296" s="9"/>
      <c r="H296" s="9"/>
      <c r="I296" s="9"/>
      <c r="J296" s="9"/>
      <c r="K296" s="9"/>
      <c r="L296" s="9"/>
      <c r="M296" s="9"/>
      <c r="N296" s="9"/>
    </row>
    <row r="297" spans="1:14" x14ac:dyDescent="0.3">
      <c r="A297" s="9"/>
      <c r="B297" s="9"/>
      <c r="C297" s="9"/>
      <c r="D297" s="9"/>
      <c r="E297" s="9"/>
      <c r="F297" s="9"/>
      <c r="G297" s="9"/>
      <c r="H297" s="9"/>
      <c r="I297" s="9"/>
      <c r="J297" s="9"/>
      <c r="K297" s="9"/>
      <c r="L297" s="9"/>
      <c r="M297" s="9"/>
      <c r="N297" s="9"/>
    </row>
    <row r="298" spans="1:14" x14ac:dyDescent="0.3">
      <c r="A298" s="9"/>
      <c r="B298" s="9"/>
      <c r="C298" s="9"/>
      <c r="D298" s="9"/>
      <c r="E298" s="9"/>
      <c r="F298" s="9"/>
      <c r="G298" s="9"/>
      <c r="H298" s="9"/>
      <c r="I298" s="9"/>
      <c r="J298" s="9"/>
      <c r="K298" s="9"/>
      <c r="L298" s="9"/>
      <c r="M298" s="9"/>
      <c r="N298" s="9"/>
    </row>
    <row r="299" spans="1:14" x14ac:dyDescent="0.3">
      <c r="A299" s="9"/>
      <c r="B299" s="9"/>
      <c r="C299" s="9"/>
      <c r="D299" s="9"/>
      <c r="E299" s="9"/>
      <c r="F299" s="9"/>
      <c r="G299" s="9"/>
      <c r="H299" s="9"/>
      <c r="I299" s="9"/>
      <c r="J299" s="9"/>
      <c r="K299" s="9"/>
      <c r="L299" s="9"/>
      <c r="M299" s="9"/>
      <c r="N299" s="9"/>
    </row>
    <row r="300" spans="1:14" x14ac:dyDescent="0.3">
      <c r="A300" s="9"/>
      <c r="B300" s="9"/>
      <c r="C300" s="9"/>
      <c r="D300" s="9"/>
      <c r="E300" s="9"/>
      <c r="F300" s="9"/>
      <c r="G300" s="9"/>
      <c r="H300" s="9"/>
      <c r="I300" s="9"/>
      <c r="J300" s="9"/>
      <c r="K300" s="9"/>
      <c r="L300" s="9"/>
      <c r="M300" s="9"/>
      <c r="N300" s="9"/>
    </row>
    <row r="301" spans="1:14" x14ac:dyDescent="0.3">
      <c r="A301" s="9"/>
      <c r="B301" s="9"/>
      <c r="C301" s="9"/>
      <c r="D301" s="9"/>
      <c r="E301" s="9"/>
      <c r="F301" s="9"/>
      <c r="G301" s="9"/>
      <c r="H301" s="9"/>
      <c r="I301" s="9"/>
      <c r="J301" s="9"/>
      <c r="K301" s="9"/>
      <c r="L301" s="9"/>
      <c r="M301" s="9"/>
      <c r="N301" s="9"/>
    </row>
    <row r="302" spans="1:14" x14ac:dyDescent="0.3">
      <c r="A302" s="9"/>
      <c r="B302" s="9"/>
      <c r="C302" s="9"/>
      <c r="D302" s="9"/>
      <c r="E302" s="9"/>
      <c r="F302" s="9"/>
      <c r="G302" s="9"/>
      <c r="H302" s="9"/>
      <c r="I302" s="9"/>
      <c r="J302" s="9"/>
      <c r="K302" s="9"/>
      <c r="L302" s="9"/>
      <c r="M302" s="9"/>
      <c r="N302" s="9"/>
    </row>
    <row r="303" spans="1:14" x14ac:dyDescent="0.3">
      <c r="A303" s="9"/>
      <c r="B303" s="9"/>
      <c r="C303" s="9"/>
      <c r="D303" s="9"/>
      <c r="E303" s="9"/>
      <c r="F303" s="9"/>
      <c r="G303" s="9"/>
      <c r="H303" s="9"/>
      <c r="I303" s="9"/>
      <c r="J303" s="9"/>
      <c r="K303" s="9"/>
      <c r="L303" s="9"/>
      <c r="M303" s="9"/>
      <c r="N303" s="9"/>
    </row>
    <row r="304" spans="1:14" x14ac:dyDescent="0.3">
      <c r="A304" s="9"/>
      <c r="B304" s="9"/>
      <c r="C304" s="9"/>
      <c r="D304" s="9"/>
      <c r="E304" s="9"/>
      <c r="F304" s="9"/>
      <c r="G304" s="9"/>
      <c r="H304" s="9"/>
      <c r="I304" s="9"/>
      <c r="J304" s="9"/>
      <c r="K304" s="9"/>
      <c r="L304" s="9"/>
      <c r="M304" s="9"/>
      <c r="N304" s="9"/>
    </row>
    <row r="305" spans="1:14" x14ac:dyDescent="0.3">
      <c r="A305" s="9"/>
      <c r="B305" s="9"/>
      <c r="C305" s="9"/>
      <c r="D305" s="9"/>
      <c r="E305" s="9"/>
      <c r="F305" s="9"/>
      <c r="G305" s="9"/>
      <c r="H305" s="9"/>
      <c r="I305" s="9"/>
      <c r="J305" s="9"/>
      <c r="K305" s="9"/>
      <c r="L305" s="9"/>
      <c r="M305" s="9"/>
      <c r="N305" s="9"/>
    </row>
    <row r="306" spans="1:14" x14ac:dyDescent="0.3">
      <c r="A306" s="9"/>
      <c r="B306" s="9"/>
      <c r="C306" s="9"/>
      <c r="D306" s="9"/>
      <c r="E306" s="9"/>
      <c r="F306" s="9"/>
      <c r="G306" s="9"/>
      <c r="H306" s="9"/>
      <c r="I306" s="9"/>
      <c r="J306" s="9"/>
      <c r="K306" s="9"/>
      <c r="L306" s="9"/>
      <c r="M306" s="9"/>
      <c r="N306" s="9"/>
    </row>
  </sheetData>
  <mergeCells count="2">
    <mergeCell ref="A1:N1"/>
    <mergeCell ref="A2:N2"/>
  </mergeCell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showErrorMessage="1" errorTitle="Pick from list" error="Choose a value from the 'Departments' list. For a new operation use the 'New Operations' sheet." xr:uid="{00000000-0002-0000-0500-000000000000}">
          <x14:formula1>
            <xm:f>Lists!$B$2:$B$15</xm:f>
          </x14:formula1>
          <x14:formula2>
            <xm:f>0</xm:f>
          </x14:formula2>
          <xm:sqref>F47:F306</xm:sqref>
        </x14:dataValidation>
        <x14:dataValidation type="list" allowBlank="1" showErrorMessage="1" errorTitle="Pick from list" error="Choose a value from the 'Link Type' list. For a new operation use the 'New Operations' sheet." xr:uid="{00000000-0002-0000-0500-000001000000}">
          <x14:formula1>
            <xm:f>Lists!$K$2:$K$3</xm:f>
          </x14:formula1>
          <x14:formula2>
            <xm:f>0</xm:f>
          </x14:formula2>
          <xm:sqref>J47:J306</xm:sqref>
        </x14:dataValidation>
        <x14:dataValidation type="list" allowBlank="1" showErrorMessage="1" errorTitle="Pick from list" error="Choose a value from the 'Yes / No' list. For a new operation use the 'New Operations' sheet." xr:uid="{00000000-0002-0000-0500-000002000000}">
          <x14:formula1>
            <xm:f>Lists!$H$2:$H$3</xm:f>
          </x14:formula1>
          <x14:formula2>
            <xm:f>0</xm:f>
          </x14:formula2>
          <xm:sqref>L47:L306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40"/>
  <sheetViews>
    <sheetView zoomScale="90" zoomScaleNormal="90" workbookViewId="0">
      <pane xSplit="2" ySplit="4" topLeftCell="C5" activePane="bottomRight" state="frozen"/>
      <selection pane="topRight" activeCell="C1" sqref="C1"/>
      <selection pane="bottomLeft" activeCell="A5" sqref="A5"/>
      <selection pane="bottomRight" sqref="A1:G1"/>
    </sheetView>
  </sheetViews>
  <sheetFormatPr defaultColWidth="8.6640625" defaultRowHeight="14.4" x14ac:dyDescent="0.3"/>
  <cols>
    <col min="1" max="1" width="8" customWidth="1"/>
    <col min="2" max="2" width="36" customWidth="1"/>
    <col min="3" max="3" width="50" customWidth="1"/>
    <col min="4" max="4" width="24" customWidth="1"/>
    <col min="5" max="6" width="9" customWidth="1"/>
    <col min="7" max="7" width="13" customWidth="1"/>
  </cols>
  <sheetData>
    <row r="1" spans="1:7" ht="21.75" customHeight="1" x14ac:dyDescent="0.3">
      <c r="A1" s="49" t="s">
        <v>194</v>
      </c>
      <c r="B1" s="49"/>
      <c r="C1" s="49"/>
      <c r="D1" s="49"/>
      <c r="E1" s="49"/>
      <c r="F1" s="49"/>
      <c r="G1" s="49"/>
    </row>
    <row r="2" spans="1:7" ht="42" customHeight="1" x14ac:dyDescent="0.3">
      <c r="A2" s="48" t="s">
        <v>195</v>
      </c>
      <c r="B2" s="48"/>
      <c r="C2" s="48"/>
      <c r="D2" s="48"/>
      <c r="E2" s="48"/>
      <c r="F2" s="48"/>
      <c r="G2" s="48"/>
    </row>
    <row r="4" spans="1:7" ht="43.5" customHeight="1" x14ac:dyDescent="0.3">
      <c r="A4" s="7" t="s">
        <v>180</v>
      </c>
      <c r="B4" s="7" t="s">
        <v>181</v>
      </c>
      <c r="C4" s="7" t="s">
        <v>182</v>
      </c>
      <c r="D4" s="7" t="s">
        <v>111</v>
      </c>
      <c r="E4" s="7" t="s">
        <v>196</v>
      </c>
      <c r="F4" s="7" t="s">
        <v>197</v>
      </c>
      <c r="G4" s="7" t="s">
        <v>198</v>
      </c>
    </row>
    <row r="5" spans="1:7" ht="27.6" x14ac:dyDescent="0.3">
      <c r="A5" s="11">
        <v>1</v>
      </c>
      <c r="B5" s="11" t="s">
        <v>190</v>
      </c>
      <c r="C5" s="11" t="s">
        <v>199</v>
      </c>
      <c r="D5" s="11" t="s">
        <v>191</v>
      </c>
      <c r="E5" s="11">
        <v>1</v>
      </c>
      <c r="F5" s="11">
        <v>2</v>
      </c>
      <c r="G5" s="11" t="s">
        <v>192</v>
      </c>
    </row>
    <row r="6" spans="1:7" ht="27.6" x14ac:dyDescent="0.3">
      <c r="A6" s="11">
        <v>2</v>
      </c>
      <c r="B6" s="11" t="s">
        <v>200</v>
      </c>
      <c r="C6" s="11" t="s">
        <v>201</v>
      </c>
      <c r="D6" s="11" t="s">
        <v>191</v>
      </c>
      <c r="E6" s="11">
        <v>2</v>
      </c>
      <c r="F6" s="11">
        <v>3</v>
      </c>
      <c r="G6" s="11" t="s">
        <v>23</v>
      </c>
    </row>
    <row r="7" spans="1:7" ht="27.6" x14ac:dyDescent="0.3">
      <c r="A7" s="11">
        <v>3</v>
      </c>
      <c r="B7" s="11" t="s">
        <v>202</v>
      </c>
      <c r="C7" s="11" t="s">
        <v>203</v>
      </c>
      <c r="D7" s="11" t="s">
        <v>204</v>
      </c>
      <c r="E7" s="11">
        <v>5</v>
      </c>
      <c r="F7" s="11">
        <v>10</v>
      </c>
      <c r="G7" s="11" t="s">
        <v>25</v>
      </c>
    </row>
    <row r="8" spans="1:7" ht="27.6" x14ac:dyDescent="0.3">
      <c r="A8" s="11">
        <v>4</v>
      </c>
      <c r="B8" s="11" t="s">
        <v>205</v>
      </c>
      <c r="C8" s="11" t="s">
        <v>206</v>
      </c>
      <c r="D8" s="11" t="s">
        <v>204</v>
      </c>
      <c r="E8" s="11">
        <v>5</v>
      </c>
      <c r="F8" s="11">
        <v>10</v>
      </c>
      <c r="G8" s="11" t="s">
        <v>27</v>
      </c>
    </row>
    <row r="9" spans="1:7" ht="27.6" x14ac:dyDescent="0.3">
      <c r="A9" s="11">
        <v>5</v>
      </c>
      <c r="B9" s="11" t="s">
        <v>207</v>
      </c>
      <c r="C9" s="11" t="s">
        <v>208</v>
      </c>
      <c r="D9" s="11" t="s">
        <v>204</v>
      </c>
      <c r="E9" s="11">
        <v>5</v>
      </c>
      <c r="F9" s="11">
        <v>15</v>
      </c>
      <c r="G9" s="11" t="s">
        <v>29</v>
      </c>
    </row>
    <row r="10" spans="1:7" ht="27.6" x14ac:dyDescent="0.3">
      <c r="A10" s="11">
        <v>6</v>
      </c>
      <c r="B10" s="11" t="s">
        <v>209</v>
      </c>
      <c r="C10" s="11" t="s">
        <v>210</v>
      </c>
      <c r="D10" s="11" t="s">
        <v>211</v>
      </c>
      <c r="E10" s="11">
        <v>2</v>
      </c>
      <c r="F10" s="11">
        <v>4</v>
      </c>
      <c r="G10" s="11" t="s">
        <v>29</v>
      </c>
    </row>
    <row r="11" spans="1:7" ht="27.6" x14ac:dyDescent="0.3">
      <c r="A11" s="11">
        <v>7</v>
      </c>
      <c r="B11" s="11" t="s">
        <v>212</v>
      </c>
      <c r="C11" s="11" t="s">
        <v>213</v>
      </c>
      <c r="D11" s="11" t="s">
        <v>214</v>
      </c>
      <c r="E11" s="11">
        <v>28</v>
      </c>
      <c r="F11" s="11">
        <v>56</v>
      </c>
      <c r="G11" s="11" t="s">
        <v>27</v>
      </c>
    </row>
    <row r="12" spans="1:7" ht="27.6" x14ac:dyDescent="0.3">
      <c r="A12" s="11">
        <v>8</v>
      </c>
      <c r="B12" s="11" t="s">
        <v>215</v>
      </c>
      <c r="C12" s="11" t="s">
        <v>216</v>
      </c>
      <c r="D12" s="11" t="s">
        <v>214</v>
      </c>
      <c r="E12" s="11">
        <v>21</v>
      </c>
      <c r="F12" s="11">
        <v>42</v>
      </c>
      <c r="G12" s="11" t="s">
        <v>29</v>
      </c>
    </row>
    <row r="13" spans="1:7" ht="27.6" x14ac:dyDescent="0.3">
      <c r="A13" s="11">
        <v>9</v>
      </c>
      <c r="B13" s="11" t="s">
        <v>217</v>
      </c>
      <c r="C13" s="11" t="s">
        <v>218</v>
      </c>
      <c r="D13" s="11" t="s">
        <v>214</v>
      </c>
      <c r="E13" s="11">
        <v>14</v>
      </c>
      <c r="F13" s="11">
        <v>35</v>
      </c>
      <c r="G13" s="11" t="s">
        <v>29</v>
      </c>
    </row>
    <row r="14" spans="1:7" ht="27.6" x14ac:dyDescent="0.3">
      <c r="A14" s="11">
        <v>10</v>
      </c>
      <c r="B14" s="11" t="s">
        <v>219</v>
      </c>
      <c r="C14" s="11" t="s">
        <v>220</v>
      </c>
      <c r="D14" s="11" t="s">
        <v>122</v>
      </c>
      <c r="E14" s="11">
        <v>1</v>
      </c>
      <c r="F14" s="11">
        <v>3</v>
      </c>
      <c r="G14" s="11" t="s">
        <v>221</v>
      </c>
    </row>
    <row r="15" spans="1:7" ht="27.6" x14ac:dyDescent="0.3">
      <c r="A15" s="11">
        <v>11</v>
      </c>
      <c r="B15" s="11" t="s">
        <v>222</v>
      </c>
      <c r="C15" s="11" t="s">
        <v>223</v>
      </c>
      <c r="D15" s="11" t="s">
        <v>124</v>
      </c>
      <c r="E15" s="11">
        <v>1</v>
      </c>
      <c r="F15" s="11">
        <v>2</v>
      </c>
      <c r="G15" s="11" t="s">
        <v>41</v>
      </c>
    </row>
    <row r="16" spans="1:7" ht="27.6" x14ac:dyDescent="0.3">
      <c r="A16" s="11">
        <v>12</v>
      </c>
      <c r="B16" s="11" t="s">
        <v>224</v>
      </c>
      <c r="C16" s="11" t="s">
        <v>225</v>
      </c>
      <c r="D16" s="11" t="s">
        <v>127</v>
      </c>
      <c r="E16" s="11">
        <v>2</v>
      </c>
      <c r="F16" s="11">
        <v>4</v>
      </c>
      <c r="G16" s="11" t="s">
        <v>226</v>
      </c>
    </row>
    <row r="17" spans="1:7" ht="27.6" x14ac:dyDescent="0.3">
      <c r="A17" s="11">
        <v>13</v>
      </c>
      <c r="B17" s="11" t="s">
        <v>227</v>
      </c>
      <c r="C17" s="11" t="s">
        <v>228</v>
      </c>
      <c r="D17" s="11" t="s">
        <v>127</v>
      </c>
      <c r="E17" s="11">
        <v>3</v>
      </c>
      <c r="F17" s="11">
        <v>7</v>
      </c>
      <c r="G17" s="11" t="s">
        <v>229</v>
      </c>
    </row>
    <row r="18" spans="1:7" ht="27.6" x14ac:dyDescent="0.3">
      <c r="A18" s="11">
        <v>14</v>
      </c>
      <c r="B18" s="11" t="s">
        <v>136</v>
      </c>
      <c r="C18" s="11" t="s">
        <v>230</v>
      </c>
      <c r="D18" s="11" t="s">
        <v>137</v>
      </c>
      <c r="E18" s="11">
        <v>3</v>
      </c>
      <c r="F18" s="11">
        <v>7</v>
      </c>
      <c r="G18" s="11" t="s">
        <v>229</v>
      </c>
    </row>
    <row r="19" spans="1:7" ht="27.6" x14ac:dyDescent="0.3">
      <c r="A19" s="11">
        <v>15</v>
      </c>
      <c r="B19" s="11" t="s">
        <v>231</v>
      </c>
      <c r="C19" s="11" t="s">
        <v>232</v>
      </c>
      <c r="D19" s="11" t="s">
        <v>131</v>
      </c>
      <c r="E19" s="11">
        <v>2</v>
      </c>
      <c r="F19" s="11">
        <v>4</v>
      </c>
      <c r="G19" s="11" t="s">
        <v>233</v>
      </c>
    </row>
    <row r="20" spans="1:7" ht="27.6" x14ac:dyDescent="0.3">
      <c r="A20" s="11">
        <v>16</v>
      </c>
      <c r="B20" s="11" t="s">
        <v>234</v>
      </c>
      <c r="C20" s="11" t="s">
        <v>235</v>
      </c>
      <c r="D20" s="11" t="s">
        <v>131</v>
      </c>
      <c r="E20" s="11">
        <v>3</v>
      </c>
      <c r="F20" s="11">
        <v>7</v>
      </c>
      <c r="G20" s="11" t="s">
        <v>236</v>
      </c>
    </row>
    <row r="21" spans="1:7" x14ac:dyDescent="0.3">
      <c r="A21" s="11">
        <v>17</v>
      </c>
      <c r="B21" s="11" t="s">
        <v>237</v>
      </c>
      <c r="C21" s="11" t="s">
        <v>238</v>
      </c>
      <c r="D21" s="11" t="s">
        <v>124</v>
      </c>
      <c r="E21" s="11">
        <v>2</v>
      </c>
      <c r="F21" s="11">
        <v>5</v>
      </c>
      <c r="G21" s="11" t="s">
        <v>239</v>
      </c>
    </row>
    <row r="22" spans="1:7" x14ac:dyDescent="0.3">
      <c r="A22" s="11">
        <v>18</v>
      </c>
      <c r="B22" s="11" t="s">
        <v>240</v>
      </c>
      <c r="C22" s="11" t="s">
        <v>241</v>
      </c>
      <c r="D22" s="11" t="s">
        <v>131</v>
      </c>
      <c r="E22" s="11">
        <v>2</v>
      </c>
      <c r="F22" s="11">
        <v>4</v>
      </c>
      <c r="G22" s="11" t="s">
        <v>242</v>
      </c>
    </row>
    <row r="23" spans="1:7" ht="27.6" x14ac:dyDescent="0.3">
      <c r="A23" s="11">
        <v>19</v>
      </c>
      <c r="B23" s="11" t="s">
        <v>243</v>
      </c>
      <c r="C23" s="11" t="s">
        <v>244</v>
      </c>
      <c r="D23" s="11" t="s">
        <v>131</v>
      </c>
      <c r="E23" s="11">
        <v>3</v>
      </c>
      <c r="F23" s="11">
        <v>5</v>
      </c>
      <c r="G23" s="11" t="s">
        <v>245</v>
      </c>
    </row>
    <row r="24" spans="1:7" x14ac:dyDescent="0.3">
      <c r="A24" s="11">
        <v>20</v>
      </c>
      <c r="B24" s="11" t="s">
        <v>246</v>
      </c>
      <c r="C24" s="11" t="s">
        <v>247</v>
      </c>
      <c r="D24" s="11" t="s">
        <v>131</v>
      </c>
      <c r="E24" s="11">
        <v>3</v>
      </c>
      <c r="F24" s="11">
        <v>5</v>
      </c>
      <c r="G24" s="11" t="s">
        <v>248</v>
      </c>
    </row>
    <row r="25" spans="1:7" x14ac:dyDescent="0.3">
      <c r="A25" s="11">
        <v>21</v>
      </c>
      <c r="B25" s="11" t="s">
        <v>249</v>
      </c>
      <c r="C25" s="11" t="s">
        <v>250</v>
      </c>
      <c r="D25" s="11" t="s">
        <v>251</v>
      </c>
      <c r="E25" s="11">
        <v>2</v>
      </c>
      <c r="F25" s="11">
        <v>5</v>
      </c>
      <c r="G25" s="11" t="s">
        <v>252</v>
      </c>
    </row>
    <row r="26" spans="1:7" x14ac:dyDescent="0.3">
      <c r="A26" s="11">
        <v>22</v>
      </c>
      <c r="B26" s="11" t="s">
        <v>253</v>
      </c>
      <c r="C26" s="11" t="s">
        <v>254</v>
      </c>
      <c r="D26" s="11" t="s">
        <v>124</v>
      </c>
      <c r="E26" s="11">
        <v>2</v>
      </c>
      <c r="F26" s="11">
        <v>5</v>
      </c>
      <c r="G26" s="11" t="s">
        <v>255</v>
      </c>
    </row>
    <row r="27" spans="1:7" ht="27.6" x14ac:dyDescent="0.3">
      <c r="A27" s="11">
        <v>23</v>
      </c>
      <c r="B27" s="11" t="s">
        <v>256</v>
      </c>
      <c r="C27" s="11" t="s">
        <v>257</v>
      </c>
      <c r="D27" s="11" t="s">
        <v>131</v>
      </c>
      <c r="E27" s="11">
        <v>3</v>
      </c>
      <c r="F27" s="11">
        <v>7</v>
      </c>
      <c r="G27" s="11" t="s">
        <v>258</v>
      </c>
    </row>
    <row r="28" spans="1:7" ht="27.6" x14ac:dyDescent="0.3">
      <c r="A28" s="11">
        <v>24</v>
      </c>
      <c r="B28" s="11" t="s">
        <v>259</v>
      </c>
      <c r="C28" s="11" t="s">
        <v>260</v>
      </c>
      <c r="D28" s="11" t="s">
        <v>131</v>
      </c>
      <c r="E28" s="11">
        <v>2</v>
      </c>
      <c r="F28" s="11">
        <v>5</v>
      </c>
      <c r="G28" s="11" t="s">
        <v>261</v>
      </c>
    </row>
    <row r="29" spans="1:7" ht="27.6" x14ac:dyDescent="0.3">
      <c r="A29" s="11">
        <v>25</v>
      </c>
      <c r="B29" s="11" t="s">
        <v>262</v>
      </c>
      <c r="C29" s="11" t="s">
        <v>263</v>
      </c>
      <c r="D29" s="11" t="s">
        <v>124</v>
      </c>
      <c r="E29" s="11">
        <v>1</v>
      </c>
      <c r="F29" s="11">
        <v>2</v>
      </c>
      <c r="G29" s="11" t="s">
        <v>264</v>
      </c>
    </row>
    <row r="30" spans="1:7" ht="27.6" x14ac:dyDescent="0.3">
      <c r="A30" s="11">
        <v>26</v>
      </c>
      <c r="B30" s="11" t="s">
        <v>265</v>
      </c>
      <c r="C30" s="11" t="s">
        <v>266</v>
      </c>
      <c r="D30" s="11" t="s">
        <v>124</v>
      </c>
      <c r="E30" s="11">
        <v>1</v>
      </c>
      <c r="F30" s="11">
        <v>1</v>
      </c>
      <c r="G30" s="11" t="s">
        <v>267</v>
      </c>
    </row>
    <row r="31" spans="1:7" x14ac:dyDescent="0.3">
      <c r="A31" s="11">
        <v>27</v>
      </c>
      <c r="B31" s="11" t="s">
        <v>268</v>
      </c>
      <c r="C31" s="11" t="s">
        <v>269</v>
      </c>
      <c r="D31" s="11" t="s">
        <v>124</v>
      </c>
      <c r="E31" s="11">
        <v>1</v>
      </c>
      <c r="F31" s="11">
        <v>2</v>
      </c>
      <c r="G31" s="11" t="s">
        <v>270</v>
      </c>
    </row>
    <row r="32" spans="1:7" x14ac:dyDescent="0.3">
      <c r="A32" s="11">
        <v>28</v>
      </c>
      <c r="B32" s="11" t="s">
        <v>271</v>
      </c>
      <c r="C32" s="11" t="s">
        <v>272</v>
      </c>
      <c r="D32" s="11" t="s">
        <v>131</v>
      </c>
      <c r="E32" s="11">
        <v>1</v>
      </c>
      <c r="F32" s="11">
        <v>2</v>
      </c>
      <c r="G32" s="11" t="s">
        <v>273</v>
      </c>
    </row>
    <row r="33" spans="1:7" ht="27.6" x14ac:dyDescent="0.3">
      <c r="A33" s="11">
        <v>29</v>
      </c>
      <c r="B33" s="11" t="s">
        <v>274</v>
      </c>
      <c r="C33" s="11" t="s">
        <v>275</v>
      </c>
      <c r="D33" s="11" t="s">
        <v>276</v>
      </c>
      <c r="E33" s="11">
        <v>1</v>
      </c>
      <c r="F33" s="11">
        <v>3</v>
      </c>
      <c r="G33" s="11" t="s">
        <v>277</v>
      </c>
    </row>
    <row r="34" spans="1:7" ht="27.6" x14ac:dyDescent="0.3">
      <c r="A34" s="11">
        <v>30</v>
      </c>
      <c r="B34" s="11" t="s">
        <v>278</v>
      </c>
      <c r="C34" s="11" t="s">
        <v>279</v>
      </c>
      <c r="D34" s="11" t="s">
        <v>276</v>
      </c>
      <c r="E34" s="11">
        <v>2</v>
      </c>
      <c r="F34" s="11">
        <v>5</v>
      </c>
      <c r="G34" s="11" t="s">
        <v>280</v>
      </c>
    </row>
    <row r="35" spans="1:7" ht="27.6" x14ac:dyDescent="0.3">
      <c r="A35" s="11">
        <v>31</v>
      </c>
      <c r="B35" s="11" t="s">
        <v>281</v>
      </c>
      <c r="C35" s="11" t="s">
        <v>282</v>
      </c>
      <c r="D35" s="11" t="s">
        <v>124</v>
      </c>
      <c r="E35" s="11">
        <v>1</v>
      </c>
      <c r="F35" s="11">
        <v>3</v>
      </c>
      <c r="G35" s="11" t="s">
        <v>283</v>
      </c>
    </row>
    <row r="36" spans="1:7" x14ac:dyDescent="0.3">
      <c r="A36" s="11">
        <v>32</v>
      </c>
      <c r="B36" s="11" t="s">
        <v>284</v>
      </c>
      <c r="C36" s="11" t="s">
        <v>285</v>
      </c>
      <c r="D36" s="11" t="s">
        <v>124</v>
      </c>
      <c r="E36" s="11">
        <v>1</v>
      </c>
      <c r="F36" s="11">
        <v>1</v>
      </c>
      <c r="G36" s="11" t="s">
        <v>286</v>
      </c>
    </row>
    <row r="37" spans="1:7" ht="27.6" x14ac:dyDescent="0.3">
      <c r="A37" s="11">
        <v>33</v>
      </c>
      <c r="B37" s="11" t="s">
        <v>287</v>
      </c>
      <c r="C37" s="11" t="s">
        <v>288</v>
      </c>
      <c r="D37" s="11" t="s">
        <v>289</v>
      </c>
      <c r="E37" s="11">
        <v>3</v>
      </c>
      <c r="F37" s="11">
        <v>7</v>
      </c>
      <c r="G37" s="11" t="s">
        <v>290</v>
      </c>
    </row>
    <row r="38" spans="1:7" ht="27.6" x14ac:dyDescent="0.3">
      <c r="A38" s="11">
        <v>34</v>
      </c>
      <c r="B38" s="11" t="s">
        <v>291</v>
      </c>
      <c r="C38" s="11" t="s">
        <v>292</v>
      </c>
      <c r="D38" s="11" t="s">
        <v>293</v>
      </c>
      <c r="E38" s="11">
        <v>1</v>
      </c>
      <c r="F38" s="11">
        <v>3</v>
      </c>
      <c r="G38" s="11" t="s">
        <v>290</v>
      </c>
    </row>
    <row r="39" spans="1:7" ht="27.6" x14ac:dyDescent="0.3">
      <c r="A39" s="11">
        <v>35</v>
      </c>
      <c r="B39" s="11" t="s">
        <v>294</v>
      </c>
      <c r="C39" s="11" t="s">
        <v>295</v>
      </c>
      <c r="D39" s="11" t="s">
        <v>293</v>
      </c>
      <c r="E39" s="11">
        <v>1</v>
      </c>
      <c r="F39" s="11">
        <v>2</v>
      </c>
      <c r="G39" s="11" t="s">
        <v>296</v>
      </c>
    </row>
    <row r="40" spans="1:7" x14ac:dyDescent="0.3">
      <c r="A40" s="11">
        <v>36</v>
      </c>
      <c r="B40" s="11" t="s">
        <v>297</v>
      </c>
      <c r="C40" s="11" t="s">
        <v>298</v>
      </c>
      <c r="D40" s="11" t="s">
        <v>293</v>
      </c>
      <c r="E40" s="11">
        <v>1</v>
      </c>
      <c r="F40" s="11">
        <v>1</v>
      </c>
      <c r="G40" s="11" t="s">
        <v>299</v>
      </c>
    </row>
  </sheetData>
  <autoFilter ref="A4:G40" xr:uid="{00000000-0009-0000-0000-000006000000}"/>
  <mergeCells count="2">
    <mergeCell ref="A1:G1"/>
    <mergeCell ref="A2:G2"/>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305"/>
  <sheetViews>
    <sheetView zoomScale="90" zoomScaleNormal="90" workbookViewId="0">
      <pane xSplit="2" ySplit="4" topLeftCell="C31" activePane="bottomRight" state="frozen"/>
      <selection pane="topRight" activeCell="C1" sqref="C1"/>
      <selection pane="bottomLeft" activeCell="A5" sqref="A5"/>
      <selection pane="bottomRight" activeCell="A13" sqref="A13:C32"/>
    </sheetView>
  </sheetViews>
  <sheetFormatPr defaultColWidth="8.6640625" defaultRowHeight="14.4" x14ac:dyDescent="0.3"/>
  <cols>
    <col min="1" max="1" width="10" customWidth="1"/>
    <col min="2" max="2" width="24" customWidth="1"/>
    <col min="3" max="3" width="16" customWidth="1"/>
    <col min="4" max="4" width="14" customWidth="1"/>
    <col min="5" max="5" width="11" customWidth="1"/>
    <col min="6" max="6" width="59.21875" customWidth="1"/>
  </cols>
  <sheetData>
    <row r="1" spans="1:6" x14ac:dyDescent="0.3">
      <c r="A1" s="140" t="s">
        <v>2192</v>
      </c>
      <c r="B1" s="140"/>
      <c r="C1" s="140"/>
      <c r="D1" s="140"/>
      <c r="E1" s="140"/>
      <c r="F1" s="140"/>
    </row>
    <row r="2" spans="1:6" x14ac:dyDescent="0.3">
      <c r="A2" s="95" t="s">
        <v>1325</v>
      </c>
      <c r="B2" s="95"/>
      <c r="C2" s="95"/>
      <c r="D2" s="95"/>
      <c r="E2" s="95"/>
      <c r="F2" s="95"/>
    </row>
    <row r="4" spans="1:6" x14ac:dyDescent="0.3">
      <c r="A4" s="96" t="s">
        <v>53</v>
      </c>
      <c r="B4" s="96" t="s">
        <v>300</v>
      </c>
      <c r="C4" s="96" t="s">
        <v>301</v>
      </c>
      <c r="D4" s="96" t="s">
        <v>302</v>
      </c>
      <c r="E4" s="96" t="s">
        <v>303</v>
      </c>
      <c r="F4" s="96" t="s">
        <v>69</v>
      </c>
    </row>
    <row r="5" spans="1:6" x14ac:dyDescent="0.3">
      <c r="A5" s="97" t="s">
        <v>1326</v>
      </c>
      <c r="B5" s="97" t="s">
        <v>304</v>
      </c>
      <c r="C5" s="97" t="s">
        <v>305</v>
      </c>
      <c r="D5" s="97" t="s">
        <v>77</v>
      </c>
      <c r="E5" s="99">
        <v>7.85</v>
      </c>
      <c r="F5" s="101" t="s">
        <v>1327</v>
      </c>
    </row>
    <row r="6" spans="1:6" x14ac:dyDescent="0.3">
      <c r="A6" s="97" t="s">
        <v>1326</v>
      </c>
      <c r="B6" s="97" t="s">
        <v>304</v>
      </c>
      <c r="C6" s="97" t="s">
        <v>306</v>
      </c>
      <c r="D6" s="97" t="s">
        <v>77</v>
      </c>
      <c r="E6" s="99">
        <v>7.85</v>
      </c>
      <c r="F6" s="101" t="s">
        <v>1327</v>
      </c>
    </row>
    <row r="7" spans="1:6" x14ac:dyDescent="0.3">
      <c r="A7" s="97" t="s">
        <v>1326</v>
      </c>
      <c r="B7" s="97" t="s">
        <v>307</v>
      </c>
      <c r="C7" s="97" t="s">
        <v>308</v>
      </c>
      <c r="D7" s="97" t="s">
        <v>86</v>
      </c>
      <c r="E7" s="99">
        <v>7.85</v>
      </c>
      <c r="F7" s="101" t="s">
        <v>1327</v>
      </c>
    </row>
    <row r="8" spans="1:6" x14ac:dyDescent="0.3">
      <c r="A8" s="97" t="s">
        <v>1326</v>
      </c>
      <c r="B8" s="97" t="s">
        <v>309</v>
      </c>
      <c r="C8" s="97" t="s">
        <v>310</v>
      </c>
      <c r="D8" s="97" t="s">
        <v>93</v>
      </c>
      <c r="E8" s="99">
        <v>7.85</v>
      </c>
      <c r="F8" s="101" t="s">
        <v>1327</v>
      </c>
    </row>
    <row r="9" spans="1:6" x14ac:dyDescent="0.3">
      <c r="A9" s="97" t="s">
        <v>1326</v>
      </c>
      <c r="B9" s="97" t="s">
        <v>311</v>
      </c>
      <c r="C9" s="97"/>
      <c r="D9" s="97" t="s">
        <v>93</v>
      </c>
      <c r="E9" s="99">
        <v>7.85</v>
      </c>
      <c r="F9" s="101" t="s">
        <v>1327</v>
      </c>
    </row>
    <row r="10" spans="1:6" x14ac:dyDescent="0.3">
      <c r="A10" s="97" t="s">
        <v>1326</v>
      </c>
      <c r="B10" s="97" t="s">
        <v>312</v>
      </c>
      <c r="C10" s="97" t="s">
        <v>313</v>
      </c>
      <c r="D10" s="97" t="s">
        <v>1328</v>
      </c>
      <c r="E10" s="99">
        <v>7.85</v>
      </c>
      <c r="F10" s="101" t="s">
        <v>1327</v>
      </c>
    </row>
    <row r="11" spans="1:6" x14ac:dyDescent="0.3">
      <c r="A11" s="97" t="s">
        <v>1326</v>
      </c>
      <c r="B11" s="97" t="s">
        <v>314</v>
      </c>
      <c r="C11" s="97" t="s">
        <v>315</v>
      </c>
      <c r="D11" s="97" t="s">
        <v>1329</v>
      </c>
      <c r="E11" s="99">
        <v>8.41</v>
      </c>
      <c r="F11" s="101" t="s">
        <v>1330</v>
      </c>
    </row>
    <row r="12" spans="1:6" x14ac:dyDescent="0.3">
      <c r="A12" s="97" t="s">
        <v>1326</v>
      </c>
      <c r="B12" s="97" t="s">
        <v>316</v>
      </c>
      <c r="C12" s="97" t="s">
        <v>317</v>
      </c>
      <c r="D12" s="97" t="s">
        <v>350</v>
      </c>
      <c r="E12" s="99">
        <v>8.5299999999999994</v>
      </c>
      <c r="F12" s="101" t="s">
        <v>1331</v>
      </c>
    </row>
    <row r="13" spans="1:6" ht="28.8" x14ac:dyDescent="0.3">
      <c r="A13" s="97" t="s">
        <v>1326</v>
      </c>
      <c r="B13" s="97" t="s">
        <v>318</v>
      </c>
      <c r="C13" s="97" t="s">
        <v>319</v>
      </c>
      <c r="D13" s="97" t="s">
        <v>362</v>
      </c>
      <c r="E13" s="99">
        <v>8.5299999999999994</v>
      </c>
      <c r="F13" s="101" t="s">
        <v>1332</v>
      </c>
    </row>
    <row r="14" spans="1:6" x14ac:dyDescent="0.3">
      <c r="A14" s="97" t="s">
        <v>1326</v>
      </c>
      <c r="B14" s="97" t="s">
        <v>320</v>
      </c>
      <c r="C14" s="97" t="s">
        <v>306</v>
      </c>
      <c r="D14" s="97" t="s">
        <v>77</v>
      </c>
      <c r="E14" s="99">
        <v>7.85</v>
      </c>
      <c r="F14" s="101" t="s">
        <v>1327</v>
      </c>
    </row>
    <row r="15" spans="1:6" x14ac:dyDescent="0.3">
      <c r="A15" s="97" t="s">
        <v>1326</v>
      </c>
      <c r="B15" s="97" t="s">
        <v>321</v>
      </c>
      <c r="C15" s="97"/>
      <c r="D15" s="97" t="s">
        <v>350</v>
      </c>
      <c r="E15" s="99">
        <v>7.85</v>
      </c>
      <c r="F15" s="101" t="s">
        <v>1327</v>
      </c>
    </row>
    <row r="16" spans="1:6" ht="28.8" x14ac:dyDescent="0.3">
      <c r="A16" s="97" t="s">
        <v>1326</v>
      </c>
      <c r="B16" s="97" t="s">
        <v>322</v>
      </c>
      <c r="C16" s="97" t="s">
        <v>308</v>
      </c>
      <c r="D16" s="97" t="s">
        <v>1333</v>
      </c>
      <c r="E16" s="99">
        <v>7.85</v>
      </c>
      <c r="F16" s="101" t="s">
        <v>1334</v>
      </c>
    </row>
    <row r="17" spans="1:6" ht="28.8" x14ac:dyDescent="0.3">
      <c r="A17" s="97" t="s">
        <v>1326</v>
      </c>
      <c r="B17" s="97" t="s">
        <v>323</v>
      </c>
      <c r="C17" s="97"/>
      <c r="D17" s="97" t="s">
        <v>86</v>
      </c>
      <c r="E17" s="99">
        <v>7.85</v>
      </c>
      <c r="F17" s="101" t="s">
        <v>1334</v>
      </c>
    </row>
    <row r="18" spans="1:6" x14ac:dyDescent="0.3">
      <c r="A18" s="97" t="s">
        <v>1326</v>
      </c>
      <c r="B18" s="97" t="s">
        <v>324</v>
      </c>
      <c r="C18" s="97"/>
      <c r="D18" s="97" t="s">
        <v>1335</v>
      </c>
      <c r="E18" s="99">
        <v>7.93</v>
      </c>
      <c r="F18" s="101" t="s">
        <v>1336</v>
      </c>
    </row>
    <row r="19" spans="1:6" ht="28.8" x14ac:dyDescent="0.3">
      <c r="A19" s="97" t="s">
        <v>1326</v>
      </c>
      <c r="B19" s="97" t="s">
        <v>325</v>
      </c>
      <c r="C19" s="97"/>
      <c r="D19" s="97" t="s">
        <v>1337</v>
      </c>
      <c r="E19" s="99">
        <v>7.98</v>
      </c>
      <c r="F19" s="101" t="s">
        <v>1338</v>
      </c>
    </row>
    <row r="20" spans="1:6" ht="28.8" x14ac:dyDescent="0.3">
      <c r="A20" s="97" t="s">
        <v>1339</v>
      </c>
      <c r="B20" s="97" t="s">
        <v>326</v>
      </c>
      <c r="C20" s="97"/>
      <c r="D20" s="97" t="s">
        <v>1340</v>
      </c>
      <c r="E20" s="99">
        <v>7.7</v>
      </c>
      <c r="F20" s="101" t="s">
        <v>1341</v>
      </c>
    </row>
    <row r="21" spans="1:6" x14ac:dyDescent="0.3">
      <c r="A21" s="97" t="s">
        <v>1326</v>
      </c>
      <c r="B21" s="97" t="s">
        <v>327</v>
      </c>
      <c r="C21" s="97"/>
      <c r="D21" s="97" t="s">
        <v>1342</v>
      </c>
      <c r="E21" s="99">
        <v>7.14</v>
      </c>
      <c r="F21" s="101" t="s">
        <v>1343</v>
      </c>
    </row>
    <row r="22" spans="1:6" x14ac:dyDescent="0.3">
      <c r="A22" s="97" t="s">
        <v>1326</v>
      </c>
      <c r="B22" s="97" t="s">
        <v>328</v>
      </c>
      <c r="C22" s="97" t="s">
        <v>329</v>
      </c>
      <c r="D22" s="97" t="s">
        <v>1344</v>
      </c>
      <c r="E22" s="99">
        <v>7.85</v>
      </c>
      <c r="F22" s="101" t="s">
        <v>1345</v>
      </c>
    </row>
    <row r="23" spans="1:6" ht="28.8" x14ac:dyDescent="0.3">
      <c r="A23" s="97" t="s">
        <v>1326</v>
      </c>
      <c r="B23" s="97" t="s">
        <v>330</v>
      </c>
      <c r="C23" s="97" t="s">
        <v>331</v>
      </c>
      <c r="D23" s="97" t="s">
        <v>821</v>
      </c>
      <c r="E23" s="99">
        <v>7.85</v>
      </c>
      <c r="F23" s="101" t="s">
        <v>1346</v>
      </c>
    </row>
    <row r="24" spans="1:6" ht="28.8" x14ac:dyDescent="0.3">
      <c r="A24" s="98" t="s">
        <v>1339</v>
      </c>
      <c r="B24" s="98" t="s">
        <v>332</v>
      </c>
      <c r="C24" s="98"/>
      <c r="D24" s="98" t="s">
        <v>1347</v>
      </c>
      <c r="E24" s="100">
        <v>1.4</v>
      </c>
      <c r="F24" s="102" t="s">
        <v>1348</v>
      </c>
    </row>
    <row r="25" spans="1:6" x14ac:dyDescent="0.3">
      <c r="A25" s="98" t="s">
        <v>1339</v>
      </c>
      <c r="B25" s="98" t="s">
        <v>333</v>
      </c>
      <c r="C25" s="98"/>
      <c r="D25" s="98" t="s">
        <v>1349</v>
      </c>
      <c r="E25" s="100">
        <v>1</v>
      </c>
      <c r="F25" s="102" t="s">
        <v>1350</v>
      </c>
    </row>
    <row r="26" spans="1:6" x14ac:dyDescent="0.3">
      <c r="A26" s="98" t="s">
        <v>1339</v>
      </c>
      <c r="B26" s="98" t="s">
        <v>334</v>
      </c>
      <c r="C26" s="98"/>
      <c r="D26" s="98" t="s">
        <v>1351</v>
      </c>
      <c r="E26" s="100">
        <v>1.8</v>
      </c>
      <c r="F26" s="102" t="s">
        <v>1352</v>
      </c>
    </row>
    <row r="27" spans="1:6" x14ac:dyDescent="0.3">
      <c r="A27" s="97" t="s">
        <v>1326</v>
      </c>
      <c r="B27" s="97" t="s">
        <v>811</v>
      </c>
      <c r="C27" s="97" t="s">
        <v>812</v>
      </c>
      <c r="D27" s="97" t="s">
        <v>77</v>
      </c>
      <c r="E27" s="99">
        <v>7.82</v>
      </c>
      <c r="F27" s="101" t="s">
        <v>1353</v>
      </c>
    </row>
    <row r="28" spans="1:6" x14ac:dyDescent="0.3">
      <c r="A28" s="97" t="s">
        <v>1326</v>
      </c>
      <c r="B28" s="97" t="s">
        <v>813</v>
      </c>
      <c r="C28" s="97" t="s">
        <v>812</v>
      </c>
      <c r="D28" s="97" t="s">
        <v>86</v>
      </c>
      <c r="E28" s="99">
        <v>7.82</v>
      </c>
      <c r="F28" s="101" t="s">
        <v>1353</v>
      </c>
    </row>
    <row r="29" spans="1:6" x14ac:dyDescent="0.3">
      <c r="A29" s="97" t="s">
        <v>1326</v>
      </c>
      <c r="B29" s="97" t="s">
        <v>814</v>
      </c>
      <c r="C29" s="97" t="s">
        <v>815</v>
      </c>
      <c r="D29" s="97" t="s">
        <v>93</v>
      </c>
      <c r="E29" s="99">
        <v>7.82</v>
      </c>
      <c r="F29" s="101" t="s">
        <v>1354</v>
      </c>
    </row>
    <row r="30" spans="1:6" x14ac:dyDescent="0.3">
      <c r="A30" s="97" t="s">
        <v>1326</v>
      </c>
      <c r="B30" s="97" t="s">
        <v>816</v>
      </c>
      <c r="C30" s="97" t="s">
        <v>817</v>
      </c>
      <c r="D30" s="97" t="s">
        <v>818</v>
      </c>
      <c r="E30" s="99">
        <v>7.98</v>
      </c>
      <c r="F30" s="101" t="s">
        <v>1355</v>
      </c>
    </row>
    <row r="31" spans="1:6" x14ac:dyDescent="0.3">
      <c r="A31" s="97" t="s">
        <v>1326</v>
      </c>
      <c r="B31" s="97" t="s">
        <v>819</v>
      </c>
      <c r="C31" s="97" t="s">
        <v>820</v>
      </c>
      <c r="D31" s="97" t="s">
        <v>821</v>
      </c>
      <c r="E31" s="99">
        <v>7.98</v>
      </c>
      <c r="F31" s="101" t="s">
        <v>1356</v>
      </c>
    </row>
    <row r="32" spans="1:6" x14ac:dyDescent="0.3">
      <c r="A32" s="97" t="s">
        <v>1326</v>
      </c>
      <c r="B32" s="97" t="s">
        <v>708</v>
      </c>
      <c r="C32" s="97"/>
      <c r="D32" s="97" t="s">
        <v>707</v>
      </c>
      <c r="E32" s="99">
        <v>7.98</v>
      </c>
      <c r="F32" s="101" t="s">
        <v>1357</v>
      </c>
    </row>
    <row r="33" spans="1:6" x14ac:dyDescent="0.3">
      <c r="A33" s="97" t="s">
        <v>1326</v>
      </c>
      <c r="B33" s="97" t="s">
        <v>822</v>
      </c>
      <c r="C33" s="97" t="s">
        <v>310</v>
      </c>
      <c r="D33" s="97" t="s">
        <v>350</v>
      </c>
      <c r="E33" s="99">
        <v>4.51</v>
      </c>
      <c r="F33" s="101" t="s">
        <v>1358</v>
      </c>
    </row>
    <row r="34" spans="1:6" ht="28.8" x14ac:dyDescent="0.3">
      <c r="A34" s="98" t="s">
        <v>1339</v>
      </c>
      <c r="B34" s="98" t="s">
        <v>823</v>
      </c>
      <c r="C34" s="98" t="s">
        <v>824</v>
      </c>
      <c r="D34" s="98" t="s">
        <v>825</v>
      </c>
      <c r="E34" s="100">
        <v>1.1499999999999999</v>
      </c>
      <c r="F34" s="102" t="s">
        <v>1359</v>
      </c>
    </row>
    <row r="35" spans="1:6" x14ac:dyDescent="0.3">
      <c r="A35" s="97" t="s">
        <v>1326</v>
      </c>
      <c r="B35" s="97" t="s">
        <v>826</v>
      </c>
      <c r="C35" s="97" t="s">
        <v>824</v>
      </c>
      <c r="D35" s="97" t="s">
        <v>827</v>
      </c>
      <c r="E35" s="99">
        <v>2.2000000000000002</v>
      </c>
      <c r="F35" s="101" t="s">
        <v>1360</v>
      </c>
    </row>
    <row r="36" spans="1:6" x14ac:dyDescent="0.3">
      <c r="A36" s="97" t="s">
        <v>1326</v>
      </c>
      <c r="B36" s="97" t="s">
        <v>736</v>
      </c>
      <c r="C36" s="97"/>
      <c r="D36" s="97" t="s">
        <v>828</v>
      </c>
      <c r="E36" s="99">
        <v>2.23</v>
      </c>
      <c r="F36" s="101" t="s">
        <v>1361</v>
      </c>
    </row>
    <row r="37" spans="1:6" ht="27.6" x14ac:dyDescent="0.3">
      <c r="A37" s="91" t="s">
        <v>1326</v>
      </c>
      <c r="B37" s="91" t="s">
        <v>2021</v>
      </c>
      <c r="C37" s="91" t="s">
        <v>2022</v>
      </c>
      <c r="D37" s="91" t="s">
        <v>86</v>
      </c>
      <c r="E37" s="132">
        <v>7.85</v>
      </c>
      <c r="F37" s="91" t="s">
        <v>2023</v>
      </c>
    </row>
    <row r="38" spans="1:6" ht="27.6" x14ac:dyDescent="0.3">
      <c r="A38" s="68" t="s">
        <v>1326</v>
      </c>
      <c r="B38" s="68" t="s">
        <v>2024</v>
      </c>
      <c r="C38" s="68" t="s">
        <v>308</v>
      </c>
      <c r="D38" s="68" t="s">
        <v>86</v>
      </c>
      <c r="E38" s="133">
        <v>7.85</v>
      </c>
      <c r="F38" s="68" t="s">
        <v>2025</v>
      </c>
    </row>
    <row r="39" spans="1:6" ht="27.6" x14ac:dyDescent="0.3">
      <c r="A39" s="68" t="s">
        <v>1326</v>
      </c>
      <c r="B39" s="68" t="s">
        <v>322</v>
      </c>
      <c r="C39" s="68" t="s">
        <v>2026</v>
      </c>
      <c r="D39" s="68" t="s">
        <v>2027</v>
      </c>
      <c r="E39" s="133">
        <v>7.85</v>
      </c>
      <c r="F39" s="68" t="s">
        <v>2028</v>
      </c>
    </row>
    <row r="40" spans="1:6" ht="27.6" x14ac:dyDescent="0.3">
      <c r="A40" s="68" t="s">
        <v>1326</v>
      </c>
      <c r="B40" s="68" t="s">
        <v>2029</v>
      </c>
      <c r="C40" s="68" t="s">
        <v>2030</v>
      </c>
      <c r="D40" s="68" t="s">
        <v>821</v>
      </c>
      <c r="E40" s="133">
        <v>7.85</v>
      </c>
      <c r="F40" s="68" t="s">
        <v>2031</v>
      </c>
    </row>
    <row r="41" spans="1:6" ht="27.6" x14ac:dyDescent="0.3">
      <c r="A41" s="68" t="s">
        <v>1326</v>
      </c>
      <c r="B41" s="68" t="s">
        <v>2029</v>
      </c>
      <c r="C41" s="68" t="s">
        <v>2032</v>
      </c>
      <c r="D41" s="68" t="s">
        <v>2033</v>
      </c>
      <c r="E41" s="133">
        <v>7.85</v>
      </c>
      <c r="F41" s="68" t="s">
        <v>2034</v>
      </c>
    </row>
    <row r="42" spans="1:6" ht="27.6" x14ac:dyDescent="0.3">
      <c r="A42" s="68" t="s">
        <v>1326</v>
      </c>
      <c r="B42" s="68" t="s">
        <v>1569</v>
      </c>
      <c r="C42" s="68"/>
      <c r="D42" s="68" t="s">
        <v>2035</v>
      </c>
      <c r="E42" s="133">
        <v>7.85</v>
      </c>
      <c r="F42" s="68" t="s">
        <v>2036</v>
      </c>
    </row>
    <row r="43" spans="1:6" ht="41.4" x14ac:dyDescent="0.3">
      <c r="A43" s="70" t="s">
        <v>1339</v>
      </c>
      <c r="B43" s="70" t="s">
        <v>1547</v>
      </c>
      <c r="C43" s="70" t="s">
        <v>2037</v>
      </c>
      <c r="D43" s="70" t="s">
        <v>707</v>
      </c>
      <c r="E43" s="135">
        <v>7.93</v>
      </c>
      <c r="F43" s="70" t="s">
        <v>2038</v>
      </c>
    </row>
    <row r="44" spans="1:6" ht="41.4" x14ac:dyDescent="0.3">
      <c r="A44" s="70" t="s">
        <v>1339</v>
      </c>
      <c r="B44" s="70" t="s">
        <v>2039</v>
      </c>
      <c r="C44" s="70"/>
      <c r="D44" s="70" t="s">
        <v>2040</v>
      </c>
      <c r="E44" s="135">
        <v>1.1000000000000001</v>
      </c>
      <c r="F44" s="70" t="s">
        <v>2041</v>
      </c>
    </row>
    <row r="45" spans="1:6" x14ac:dyDescent="0.3">
      <c r="A45" s="9"/>
      <c r="B45" s="9"/>
      <c r="C45" s="9"/>
      <c r="D45" s="9"/>
      <c r="E45" s="9"/>
      <c r="F45" s="9"/>
    </row>
    <row r="46" spans="1:6" x14ac:dyDescent="0.3">
      <c r="A46" s="9"/>
      <c r="B46" s="9"/>
      <c r="C46" s="9"/>
      <c r="D46" s="9"/>
      <c r="E46" s="9"/>
      <c r="F46" s="9"/>
    </row>
    <row r="47" spans="1:6" x14ac:dyDescent="0.3">
      <c r="A47" s="9"/>
      <c r="B47" s="9"/>
      <c r="C47" s="9"/>
      <c r="D47" s="9"/>
      <c r="E47" s="9"/>
      <c r="F47" s="9"/>
    </row>
    <row r="48" spans="1:6" x14ac:dyDescent="0.3">
      <c r="A48" s="9"/>
      <c r="B48" s="9"/>
      <c r="C48" s="9"/>
      <c r="D48" s="9"/>
      <c r="E48" s="9"/>
      <c r="F48" s="9"/>
    </row>
    <row r="49" spans="1:6" x14ac:dyDescent="0.3">
      <c r="A49" s="9"/>
      <c r="B49" s="9"/>
      <c r="C49" s="9"/>
      <c r="D49" s="9"/>
      <c r="E49" s="9"/>
      <c r="F49" s="9"/>
    </row>
    <row r="50" spans="1:6" x14ac:dyDescent="0.3">
      <c r="A50" s="9"/>
      <c r="B50" s="9"/>
      <c r="C50" s="9"/>
      <c r="D50" s="9"/>
      <c r="E50" s="9"/>
      <c r="F50" s="9"/>
    </row>
    <row r="51" spans="1:6" x14ac:dyDescent="0.3">
      <c r="A51" s="9"/>
      <c r="B51" s="9"/>
      <c r="C51" s="9"/>
      <c r="D51" s="9"/>
      <c r="E51" s="9"/>
      <c r="F51" s="9"/>
    </row>
    <row r="52" spans="1:6" x14ac:dyDescent="0.3">
      <c r="A52" s="9"/>
      <c r="B52" s="9"/>
      <c r="C52" s="9"/>
      <c r="D52" s="9"/>
      <c r="E52" s="9"/>
      <c r="F52" s="9"/>
    </row>
    <row r="53" spans="1:6" x14ac:dyDescent="0.3">
      <c r="A53" s="9"/>
      <c r="B53" s="9"/>
      <c r="C53" s="9"/>
      <c r="D53" s="9"/>
      <c r="E53" s="9"/>
      <c r="F53" s="9"/>
    </row>
    <row r="54" spans="1:6" x14ac:dyDescent="0.3">
      <c r="A54" s="9"/>
      <c r="B54" s="9"/>
      <c r="C54" s="9"/>
      <c r="D54" s="9"/>
      <c r="E54" s="9"/>
      <c r="F54" s="9"/>
    </row>
    <row r="55" spans="1:6" x14ac:dyDescent="0.3">
      <c r="A55" s="9"/>
      <c r="B55" s="9"/>
      <c r="C55" s="9"/>
      <c r="D55" s="9"/>
      <c r="E55" s="9"/>
      <c r="F55" s="9"/>
    </row>
    <row r="56" spans="1:6" x14ac:dyDescent="0.3">
      <c r="A56" s="9"/>
      <c r="B56" s="9"/>
      <c r="C56" s="9"/>
      <c r="D56" s="9"/>
      <c r="E56" s="9"/>
      <c r="F56" s="9"/>
    </row>
    <row r="57" spans="1:6" x14ac:dyDescent="0.3">
      <c r="A57" s="9"/>
      <c r="B57" s="9"/>
      <c r="C57" s="9"/>
      <c r="D57" s="9"/>
      <c r="E57" s="9"/>
      <c r="F57" s="9"/>
    </row>
    <row r="58" spans="1:6" x14ac:dyDescent="0.3">
      <c r="A58" s="9"/>
      <c r="B58" s="9"/>
      <c r="C58" s="9"/>
      <c r="D58" s="9"/>
      <c r="E58" s="9"/>
      <c r="F58" s="9"/>
    </row>
    <row r="59" spans="1:6" x14ac:dyDescent="0.3">
      <c r="A59" s="9"/>
      <c r="B59" s="9"/>
      <c r="C59" s="9"/>
      <c r="D59" s="9"/>
      <c r="E59" s="9"/>
      <c r="F59" s="9"/>
    </row>
    <row r="60" spans="1:6" x14ac:dyDescent="0.3">
      <c r="A60" s="9"/>
      <c r="B60" s="9"/>
      <c r="C60" s="9"/>
      <c r="D60" s="9"/>
      <c r="E60" s="9"/>
      <c r="F60" s="9"/>
    </row>
    <row r="61" spans="1:6" x14ac:dyDescent="0.3">
      <c r="A61" s="9"/>
      <c r="B61" s="9"/>
      <c r="C61" s="9"/>
      <c r="D61" s="9"/>
      <c r="E61" s="9"/>
      <c r="F61" s="9"/>
    </row>
    <row r="62" spans="1:6" x14ac:dyDescent="0.3">
      <c r="A62" s="9"/>
      <c r="B62" s="9"/>
      <c r="C62" s="9"/>
      <c r="D62" s="9"/>
      <c r="E62" s="9"/>
      <c r="F62" s="9"/>
    </row>
    <row r="63" spans="1:6" x14ac:dyDescent="0.3">
      <c r="A63" s="9"/>
      <c r="B63" s="9"/>
      <c r="C63" s="9"/>
      <c r="D63" s="9"/>
      <c r="E63" s="9"/>
      <c r="F63" s="9"/>
    </row>
    <row r="64" spans="1:6" x14ac:dyDescent="0.3">
      <c r="A64" s="9"/>
      <c r="B64" s="9"/>
      <c r="C64" s="9"/>
      <c r="D64" s="9"/>
      <c r="E64" s="9"/>
      <c r="F64" s="9"/>
    </row>
    <row r="65" spans="1:6" x14ac:dyDescent="0.3">
      <c r="A65" s="9"/>
      <c r="B65" s="9"/>
      <c r="C65" s="9"/>
      <c r="D65" s="9"/>
      <c r="E65" s="9"/>
      <c r="F65" s="9"/>
    </row>
    <row r="66" spans="1:6" x14ac:dyDescent="0.3">
      <c r="A66" s="9"/>
      <c r="B66" s="9"/>
      <c r="C66" s="9"/>
      <c r="D66" s="9"/>
      <c r="E66" s="9"/>
      <c r="F66" s="9"/>
    </row>
    <row r="67" spans="1:6" x14ac:dyDescent="0.3">
      <c r="A67" s="9"/>
      <c r="B67" s="9"/>
      <c r="C67" s="9"/>
      <c r="D67" s="9"/>
      <c r="E67" s="9"/>
      <c r="F67" s="9"/>
    </row>
    <row r="68" spans="1:6" x14ac:dyDescent="0.3">
      <c r="A68" s="9"/>
      <c r="B68" s="9"/>
      <c r="C68" s="9"/>
      <c r="D68" s="9"/>
      <c r="E68" s="9"/>
      <c r="F68" s="9"/>
    </row>
    <row r="69" spans="1:6" x14ac:dyDescent="0.3">
      <c r="A69" s="9"/>
      <c r="B69" s="9"/>
      <c r="C69" s="9"/>
      <c r="D69" s="9"/>
      <c r="E69" s="9"/>
      <c r="F69" s="9"/>
    </row>
    <row r="70" spans="1:6" x14ac:dyDescent="0.3">
      <c r="A70" s="9"/>
      <c r="B70" s="9"/>
      <c r="C70" s="9"/>
      <c r="D70" s="9"/>
      <c r="E70" s="9"/>
      <c r="F70" s="9"/>
    </row>
    <row r="71" spans="1:6" x14ac:dyDescent="0.3">
      <c r="A71" s="9"/>
      <c r="B71" s="9"/>
      <c r="C71" s="9"/>
      <c r="D71" s="9"/>
      <c r="E71" s="9"/>
      <c r="F71" s="9"/>
    </row>
    <row r="72" spans="1:6" x14ac:dyDescent="0.3">
      <c r="A72" s="9"/>
      <c r="B72" s="9"/>
      <c r="C72" s="9"/>
      <c r="D72" s="9"/>
      <c r="E72" s="9"/>
      <c r="F72" s="9"/>
    </row>
    <row r="73" spans="1:6" x14ac:dyDescent="0.3">
      <c r="A73" s="9"/>
      <c r="B73" s="9"/>
      <c r="C73" s="9"/>
      <c r="D73" s="9"/>
      <c r="E73" s="9"/>
      <c r="F73" s="9"/>
    </row>
    <row r="74" spans="1:6" x14ac:dyDescent="0.3">
      <c r="A74" s="9"/>
      <c r="B74" s="9"/>
      <c r="C74" s="9"/>
      <c r="D74" s="9"/>
      <c r="E74" s="9"/>
      <c r="F74" s="9"/>
    </row>
    <row r="75" spans="1:6" x14ac:dyDescent="0.3">
      <c r="A75" s="9"/>
      <c r="B75" s="9"/>
      <c r="C75" s="9"/>
      <c r="D75" s="9"/>
      <c r="E75" s="9"/>
      <c r="F75" s="9"/>
    </row>
    <row r="76" spans="1:6" x14ac:dyDescent="0.3">
      <c r="A76" s="9"/>
      <c r="B76" s="9"/>
      <c r="C76" s="9"/>
      <c r="D76" s="9"/>
      <c r="E76" s="9"/>
      <c r="F76" s="9"/>
    </row>
    <row r="77" spans="1:6" x14ac:dyDescent="0.3">
      <c r="A77" s="9"/>
      <c r="B77" s="9"/>
      <c r="C77" s="9"/>
      <c r="D77" s="9"/>
      <c r="E77" s="9"/>
      <c r="F77" s="9"/>
    </row>
    <row r="78" spans="1:6" x14ac:dyDescent="0.3">
      <c r="A78" s="9"/>
      <c r="B78" s="9"/>
      <c r="C78" s="9"/>
      <c r="D78" s="9"/>
      <c r="E78" s="9"/>
      <c r="F78" s="9"/>
    </row>
    <row r="79" spans="1:6" x14ac:dyDescent="0.3">
      <c r="A79" s="9"/>
      <c r="B79" s="9"/>
      <c r="C79" s="9"/>
      <c r="D79" s="9"/>
      <c r="E79" s="9"/>
      <c r="F79" s="9"/>
    </row>
    <row r="80" spans="1:6" x14ac:dyDescent="0.3">
      <c r="A80" s="9"/>
      <c r="B80" s="9"/>
      <c r="C80" s="9"/>
      <c r="D80" s="9"/>
      <c r="E80" s="9"/>
      <c r="F80" s="9"/>
    </row>
    <row r="81" spans="1:6" x14ac:dyDescent="0.3">
      <c r="A81" s="9"/>
      <c r="B81" s="9"/>
      <c r="C81" s="9"/>
      <c r="D81" s="9"/>
      <c r="E81" s="9"/>
      <c r="F81" s="9"/>
    </row>
    <row r="82" spans="1:6" x14ac:dyDescent="0.3">
      <c r="A82" s="9"/>
      <c r="B82" s="9"/>
      <c r="C82" s="9"/>
      <c r="D82" s="9"/>
      <c r="E82" s="9"/>
      <c r="F82" s="9"/>
    </row>
    <row r="83" spans="1:6" x14ac:dyDescent="0.3">
      <c r="A83" s="9"/>
      <c r="B83" s="9"/>
      <c r="C83" s="9"/>
      <c r="D83" s="9"/>
      <c r="E83" s="9"/>
      <c r="F83" s="9"/>
    </row>
    <row r="84" spans="1:6" x14ac:dyDescent="0.3">
      <c r="A84" s="9"/>
      <c r="B84" s="9"/>
      <c r="C84" s="9"/>
      <c r="D84" s="9"/>
      <c r="E84" s="9"/>
      <c r="F84" s="9"/>
    </row>
    <row r="85" spans="1:6" x14ac:dyDescent="0.3">
      <c r="A85" s="9"/>
      <c r="B85" s="9"/>
      <c r="C85" s="9"/>
      <c r="D85" s="9"/>
      <c r="E85" s="9"/>
      <c r="F85" s="9"/>
    </row>
    <row r="86" spans="1:6" x14ac:dyDescent="0.3">
      <c r="A86" s="9"/>
      <c r="B86" s="9"/>
      <c r="C86" s="9"/>
      <c r="D86" s="9"/>
      <c r="E86" s="9"/>
      <c r="F86" s="9"/>
    </row>
    <row r="87" spans="1:6" x14ac:dyDescent="0.3">
      <c r="A87" s="9"/>
      <c r="B87" s="9"/>
      <c r="C87" s="9"/>
      <c r="D87" s="9"/>
      <c r="E87" s="9"/>
      <c r="F87" s="9"/>
    </row>
    <row r="88" spans="1:6" x14ac:dyDescent="0.3">
      <c r="A88" s="9"/>
      <c r="B88" s="9"/>
      <c r="C88" s="9"/>
      <c r="D88" s="9"/>
      <c r="E88" s="9"/>
      <c r="F88" s="9"/>
    </row>
    <row r="89" spans="1:6" x14ac:dyDescent="0.3">
      <c r="A89" s="9"/>
      <c r="B89" s="9"/>
      <c r="C89" s="9"/>
      <c r="D89" s="9"/>
      <c r="E89" s="9"/>
      <c r="F89" s="9"/>
    </row>
    <row r="90" spans="1:6" x14ac:dyDescent="0.3">
      <c r="A90" s="9"/>
      <c r="B90" s="9"/>
      <c r="C90" s="9"/>
      <c r="D90" s="9"/>
      <c r="E90" s="9"/>
      <c r="F90" s="9"/>
    </row>
    <row r="91" spans="1:6" x14ac:dyDescent="0.3">
      <c r="A91" s="9"/>
      <c r="B91" s="9"/>
      <c r="C91" s="9"/>
      <c r="D91" s="9"/>
      <c r="E91" s="9"/>
      <c r="F91" s="9"/>
    </row>
    <row r="92" spans="1:6" x14ac:dyDescent="0.3">
      <c r="A92" s="9"/>
      <c r="B92" s="9"/>
      <c r="C92" s="9"/>
      <c r="D92" s="9"/>
      <c r="E92" s="9"/>
      <c r="F92" s="9"/>
    </row>
    <row r="93" spans="1:6" x14ac:dyDescent="0.3">
      <c r="A93" s="9"/>
      <c r="B93" s="9"/>
      <c r="C93" s="9"/>
      <c r="D93" s="9"/>
      <c r="E93" s="9"/>
      <c r="F93" s="9"/>
    </row>
    <row r="94" spans="1:6" x14ac:dyDescent="0.3">
      <c r="A94" s="9"/>
      <c r="B94" s="9"/>
      <c r="C94" s="9"/>
      <c r="D94" s="9"/>
      <c r="E94" s="9"/>
      <c r="F94" s="9"/>
    </row>
    <row r="95" spans="1:6" x14ac:dyDescent="0.3">
      <c r="A95" s="9"/>
      <c r="B95" s="9"/>
      <c r="C95" s="9"/>
      <c r="D95" s="9"/>
      <c r="E95" s="9"/>
      <c r="F95" s="9"/>
    </row>
    <row r="96" spans="1:6" x14ac:dyDescent="0.3">
      <c r="A96" s="9"/>
      <c r="B96" s="9"/>
      <c r="C96" s="9"/>
      <c r="D96" s="9"/>
      <c r="E96" s="9"/>
      <c r="F96" s="9"/>
    </row>
    <row r="97" spans="1:6" x14ac:dyDescent="0.3">
      <c r="A97" s="9"/>
      <c r="B97" s="9"/>
      <c r="C97" s="9"/>
      <c r="D97" s="9"/>
      <c r="E97" s="9"/>
      <c r="F97" s="9"/>
    </row>
    <row r="98" spans="1:6" x14ac:dyDescent="0.3">
      <c r="A98" s="9"/>
      <c r="B98" s="9"/>
      <c r="C98" s="9"/>
      <c r="D98" s="9"/>
      <c r="E98" s="9"/>
      <c r="F98" s="9"/>
    </row>
    <row r="99" spans="1:6" x14ac:dyDescent="0.3">
      <c r="A99" s="9"/>
      <c r="B99" s="9"/>
      <c r="C99" s="9"/>
      <c r="D99" s="9"/>
      <c r="E99" s="9"/>
      <c r="F99" s="9"/>
    </row>
    <row r="100" spans="1:6" x14ac:dyDescent="0.3">
      <c r="A100" s="9"/>
      <c r="B100" s="9"/>
      <c r="C100" s="9"/>
      <c r="D100" s="9"/>
      <c r="E100" s="9"/>
      <c r="F100" s="9"/>
    </row>
    <row r="101" spans="1:6" x14ac:dyDescent="0.3">
      <c r="A101" s="9"/>
      <c r="B101" s="9"/>
      <c r="C101" s="9"/>
      <c r="D101" s="9"/>
      <c r="E101" s="9"/>
      <c r="F101" s="9"/>
    </row>
    <row r="102" spans="1:6" x14ac:dyDescent="0.3">
      <c r="A102" s="9"/>
      <c r="B102" s="9"/>
      <c r="C102" s="9"/>
      <c r="D102" s="9"/>
      <c r="E102" s="9"/>
      <c r="F102" s="9"/>
    </row>
    <row r="103" spans="1:6" x14ac:dyDescent="0.3">
      <c r="A103" s="9"/>
      <c r="B103" s="9"/>
      <c r="C103" s="9"/>
      <c r="D103" s="9"/>
      <c r="E103" s="9"/>
      <c r="F103" s="9"/>
    </row>
    <row r="104" spans="1:6" x14ac:dyDescent="0.3">
      <c r="A104" s="9"/>
      <c r="B104" s="9"/>
      <c r="C104" s="9"/>
      <c r="D104" s="9"/>
      <c r="E104" s="9"/>
      <c r="F104" s="9"/>
    </row>
    <row r="105" spans="1:6" x14ac:dyDescent="0.3">
      <c r="A105" s="9"/>
      <c r="B105" s="9"/>
      <c r="C105" s="9"/>
      <c r="D105" s="9"/>
      <c r="E105" s="9"/>
      <c r="F105" s="9"/>
    </row>
    <row r="106" spans="1:6" x14ac:dyDescent="0.3">
      <c r="A106" s="9"/>
      <c r="B106" s="9"/>
      <c r="C106" s="9"/>
      <c r="D106" s="9"/>
      <c r="E106" s="9"/>
      <c r="F106" s="9"/>
    </row>
    <row r="107" spans="1:6" x14ac:dyDescent="0.3">
      <c r="A107" s="9"/>
      <c r="B107" s="9"/>
      <c r="C107" s="9"/>
      <c r="D107" s="9"/>
      <c r="E107" s="9"/>
      <c r="F107" s="9"/>
    </row>
    <row r="108" spans="1:6" x14ac:dyDescent="0.3">
      <c r="A108" s="9"/>
      <c r="B108" s="9"/>
      <c r="C108" s="9"/>
      <c r="D108" s="9"/>
      <c r="E108" s="9"/>
      <c r="F108" s="9"/>
    </row>
    <row r="109" spans="1:6" x14ac:dyDescent="0.3">
      <c r="A109" s="9"/>
      <c r="B109" s="9"/>
      <c r="C109" s="9"/>
      <c r="D109" s="9"/>
      <c r="E109" s="9"/>
      <c r="F109" s="9"/>
    </row>
    <row r="110" spans="1:6" x14ac:dyDescent="0.3">
      <c r="A110" s="9"/>
      <c r="B110" s="9"/>
      <c r="C110" s="9"/>
      <c r="D110" s="9"/>
      <c r="E110" s="9"/>
      <c r="F110" s="9"/>
    </row>
    <row r="111" spans="1:6" x14ac:dyDescent="0.3">
      <c r="A111" s="9"/>
      <c r="B111" s="9"/>
      <c r="C111" s="9"/>
      <c r="D111" s="9"/>
      <c r="E111" s="9"/>
      <c r="F111" s="9"/>
    </row>
    <row r="112" spans="1:6" x14ac:dyDescent="0.3">
      <c r="A112" s="9"/>
      <c r="B112" s="9"/>
      <c r="C112" s="9"/>
      <c r="D112" s="9"/>
      <c r="E112" s="9"/>
      <c r="F112" s="9"/>
    </row>
    <row r="113" spans="1:6" x14ac:dyDescent="0.3">
      <c r="A113" s="9"/>
      <c r="B113" s="9"/>
      <c r="C113" s="9"/>
      <c r="D113" s="9"/>
      <c r="E113" s="9"/>
      <c r="F113" s="9"/>
    </row>
    <row r="114" spans="1:6" x14ac:dyDescent="0.3">
      <c r="A114" s="9"/>
      <c r="B114" s="9"/>
      <c r="C114" s="9"/>
      <c r="D114" s="9"/>
      <c r="E114" s="9"/>
      <c r="F114" s="9"/>
    </row>
    <row r="115" spans="1:6" x14ac:dyDescent="0.3">
      <c r="A115" s="9"/>
      <c r="B115" s="9"/>
      <c r="C115" s="9"/>
      <c r="D115" s="9"/>
      <c r="E115" s="9"/>
      <c r="F115" s="9"/>
    </row>
    <row r="116" spans="1:6" x14ac:dyDescent="0.3">
      <c r="A116" s="9"/>
      <c r="B116" s="9"/>
      <c r="C116" s="9"/>
      <c r="D116" s="9"/>
      <c r="E116" s="9"/>
      <c r="F116" s="9"/>
    </row>
    <row r="117" spans="1:6" x14ac:dyDescent="0.3">
      <c r="A117" s="9"/>
      <c r="B117" s="9"/>
      <c r="C117" s="9"/>
      <c r="D117" s="9"/>
      <c r="E117" s="9"/>
      <c r="F117" s="9"/>
    </row>
    <row r="118" spans="1:6" x14ac:dyDescent="0.3">
      <c r="A118" s="9"/>
      <c r="B118" s="9"/>
      <c r="C118" s="9"/>
      <c r="D118" s="9"/>
      <c r="E118" s="9"/>
      <c r="F118" s="9"/>
    </row>
    <row r="119" spans="1:6" x14ac:dyDescent="0.3">
      <c r="A119" s="9"/>
      <c r="B119" s="9"/>
      <c r="C119" s="9"/>
      <c r="D119" s="9"/>
      <c r="E119" s="9"/>
      <c r="F119" s="9"/>
    </row>
    <row r="120" spans="1:6" x14ac:dyDescent="0.3">
      <c r="A120" s="9"/>
      <c r="B120" s="9"/>
      <c r="C120" s="9"/>
      <c r="D120" s="9"/>
      <c r="E120" s="9"/>
      <c r="F120" s="9"/>
    </row>
    <row r="121" spans="1:6" x14ac:dyDescent="0.3">
      <c r="A121" s="9"/>
      <c r="B121" s="9"/>
      <c r="C121" s="9"/>
      <c r="D121" s="9"/>
      <c r="E121" s="9"/>
      <c r="F121" s="9"/>
    </row>
    <row r="122" spans="1:6" x14ac:dyDescent="0.3">
      <c r="A122" s="9"/>
      <c r="B122" s="9"/>
      <c r="C122" s="9"/>
      <c r="D122" s="9"/>
      <c r="E122" s="9"/>
      <c r="F122" s="9"/>
    </row>
    <row r="123" spans="1:6" x14ac:dyDescent="0.3">
      <c r="A123" s="9"/>
      <c r="B123" s="9"/>
      <c r="C123" s="9"/>
      <c r="D123" s="9"/>
      <c r="E123" s="9"/>
      <c r="F123" s="9"/>
    </row>
    <row r="124" spans="1:6" x14ac:dyDescent="0.3">
      <c r="A124" s="9"/>
      <c r="B124" s="9"/>
      <c r="C124" s="9"/>
      <c r="D124" s="9"/>
      <c r="E124" s="9"/>
      <c r="F124" s="9"/>
    </row>
    <row r="125" spans="1:6" x14ac:dyDescent="0.3">
      <c r="A125" s="9"/>
      <c r="B125" s="9"/>
      <c r="C125" s="9"/>
      <c r="D125" s="9"/>
      <c r="E125" s="9"/>
      <c r="F125" s="9"/>
    </row>
    <row r="126" spans="1:6" x14ac:dyDescent="0.3">
      <c r="A126" s="9"/>
      <c r="B126" s="9"/>
      <c r="C126" s="9"/>
      <c r="D126" s="9"/>
      <c r="E126" s="9"/>
      <c r="F126" s="9"/>
    </row>
    <row r="127" spans="1:6" x14ac:dyDescent="0.3">
      <c r="A127" s="9"/>
      <c r="B127" s="9"/>
      <c r="C127" s="9"/>
      <c r="D127" s="9"/>
      <c r="E127" s="9"/>
      <c r="F127" s="9"/>
    </row>
    <row r="128" spans="1:6" x14ac:dyDescent="0.3">
      <c r="A128" s="9"/>
      <c r="B128" s="9"/>
      <c r="C128" s="9"/>
      <c r="D128" s="9"/>
      <c r="E128" s="9"/>
      <c r="F128" s="9"/>
    </row>
    <row r="129" spans="1:6" x14ac:dyDescent="0.3">
      <c r="A129" s="9"/>
      <c r="B129" s="9"/>
      <c r="C129" s="9"/>
      <c r="D129" s="9"/>
      <c r="E129" s="9"/>
      <c r="F129" s="9"/>
    </row>
    <row r="130" spans="1:6" x14ac:dyDescent="0.3">
      <c r="A130" s="9"/>
      <c r="B130" s="9"/>
      <c r="C130" s="9"/>
      <c r="D130" s="9"/>
      <c r="E130" s="9"/>
      <c r="F130" s="9"/>
    </row>
    <row r="131" spans="1:6" x14ac:dyDescent="0.3">
      <c r="A131" s="9"/>
      <c r="B131" s="9"/>
      <c r="C131" s="9"/>
      <c r="D131" s="9"/>
      <c r="E131" s="9"/>
      <c r="F131" s="9"/>
    </row>
    <row r="132" spans="1:6" x14ac:dyDescent="0.3">
      <c r="A132" s="9"/>
      <c r="B132" s="9"/>
      <c r="C132" s="9"/>
      <c r="D132" s="9"/>
      <c r="E132" s="9"/>
      <c r="F132" s="9"/>
    </row>
    <row r="133" spans="1:6" x14ac:dyDescent="0.3">
      <c r="A133" s="9"/>
      <c r="B133" s="9"/>
      <c r="C133" s="9"/>
      <c r="D133" s="9"/>
      <c r="E133" s="9"/>
      <c r="F133" s="9"/>
    </row>
    <row r="134" spans="1:6" x14ac:dyDescent="0.3">
      <c r="A134" s="9"/>
      <c r="B134" s="9"/>
      <c r="C134" s="9"/>
      <c r="D134" s="9"/>
      <c r="E134" s="9"/>
      <c r="F134" s="9"/>
    </row>
    <row r="135" spans="1:6" x14ac:dyDescent="0.3">
      <c r="A135" s="9"/>
      <c r="B135" s="9"/>
      <c r="C135" s="9"/>
      <c r="D135" s="9"/>
      <c r="E135" s="9"/>
      <c r="F135" s="9"/>
    </row>
    <row r="136" spans="1:6" x14ac:dyDescent="0.3">
      <c r="A136" s="9"/>
      <c r="B136" s="9"/>
      <c r="C136" s="9"/>
      <c r="D136" s="9"/>
      <c r="E136" s="9"/>
      <c r="F136" s="9"/>
    </row>
    <row r="137" spans="1:6" x14ac:dyDescent="0.3">
      <c r="A137" s="9"/>
      <c r="B137" s="9"/>
      <c r="C137" s="9"/>
      <c r="D137" s="9"/>
      <c r="E137" s="9"/>
      <c r="F137" s="9"/>
    </row>
    <row r="138" spans="1:6" x14ac:dyDescent="0.3">
      <c r="A138" s="9"/>
      <c r="B138" s="9"/>
      <c r="C138" s="9"/>
      <c r="D138" s="9"/>
      <c r="E138" s="9"/>
      <c r="F138" s="9"/>
    </row>
    <row r="139" spans="1:6" x14ac:dyDescent="0.3">
      <c r="A139" s="9"/>
      <c r="B139" s="9"/>
      <c r="C139" s="9"/>
      <c r="D139" s="9"/>
      <c r="E139" s="9"/>
      <c r="F139" s="9"/>
    </row>
    <row r="140" spans="1:6" x14ac:dyDescent="0.3">
      <c r="A140" s="9"/>
      <c r="B140" s="9"/>
      <c r="C140" s="9"/>
      <c r="D140" s="9"/>
      <c r="E140" s="9"/>
      <c r="F140" s="9"/>
    </row>
    <row r="141" spans="1:6" x14ac:dyDescent="0.3">
      <c r="A141" s="9"/>
      <c r="B141" s="9"/>
      <c r="C141" s="9"/>
      <c r="D141" s="9"/>
      <c r="E141" s="9"/>
      <c r="F141" s="9"/>
    </row>
    <row r="142" spans="1:6" x14ac:dyDescent="0.3">
      <c r="A142" s="9"/>
      <c r="B142" s="9"/>
      <c r="C142" s="9"/>
      <c r="D142" s="9"/>
      <c r="E142" s="9"/>
      <c r="F142" s="9"/>
    </row>
    <row r="143" spans="1:6" x14ac:dyDescent="0.3">
      <c r="A143" s="9"/>
      <c r="B143" s="9"/>
      <c r="C143" s="9"/>
      <c r="D143" s="9"/>
      <c r="E143" s="9"/>
      <c r="F143" s="9"/>
    </row>
    <row r="144" spans="1:6" x14ac:dyDescent="0.3">
      <c r="A144" s="9"/>
      <c r="B144" s="9"/>
      <c r="C144" s="9"/>
      <c r="D144" s="9"/>
      <c r="E144" s="9"/>
      <c r="F144" s="9"/>
    </row>
    <row r="145" spans="1:6" x14ac:dyDescent="0.3">
      <c r="A145" s="9"/>
      <c r="B145" s="9"/>
      <c r="C145" s="9"/>
      <c r="D145" s="9"/>
      <c r="E145" s="9"/>
      <c r="F145" s="9"/>
    </row>
    <row r="146" spans="1:6" x14ac:dyDescent="0.3">
      <c r="A146" s="9"/>
      <c r="B146" s="9"/>
      <c r="C146" s="9"/>
      <c r="D146" s="9"/>
      <c r="E146" s="9"/>
      <c r="F146" s="9"/>
    </row>
    <row r="147" spans="1:6" x14ac:dyDescent="0.3">
      <c r="A147" s="9"/>
      <c r="B147" s="9"/>
      <c r="C147" s="9"/>
      <c r="D147" s="9"/>
      <c r="E147" s="9"/>
      <c r="F147" s="9"/>
    </row>
    <row r="148" spans="1:6" x14ac:dyDescent="0.3">
      <c r="A148" s="9"/>
      <c r="B148" s="9"/>
      <c r="C148" s="9"/>
      <c r="D148" s="9"/>
      <c r="E148" s="9"/>
      <c r="F148" s="9"/>
    </row>
    <row r="149" spans="1:6" x14ac:dyDescent="0.3">
      <c r="A149" s="9"/>
      <c r="B149" s="9"/>
      <c r="C149" s="9"/>
      <c r="D149" s="9"/>
      <c r="E149" s="9"/>
      <c r="F149" s="9"/>
    </row>
    <row r="150" spans="1:6" x14ac:dyDescent="0.3">
      <c r="A150" s="9"/>
      <c r="B150" s="9"/>
      <c r="C150" s="9"/>
      <c r="D150" s="9"/>
      <c r="E150" s="9"/>
      <c r="F150" s="9"/>
    </row>
    <row r="151" spans="1:6" x14ac:dyDescent="0.3">
      <c r="A151" s="9"/>
      <c r="B151" s="9"/>
      <c r="C151" s="9"/>
      <c r="D151" s="9"/>
      <c r="E151" s="9"/>
      <c r="F151" s="9"/>
    </row>
    <row r="152" spans="1:6" x14ac:dyDescent="0.3">
      <c r="A152" s="9"/>
      <c r="B152" s="9"/>
      <c r="C152" s="9"/>
      <c r="D152" s="9"/>
      <c r="E152" s="9"/>
      <c r="F152" s="9"/>
    </row>
    <row r="153" spans="1:6" x14ac:dyDescent="0.3">
      <c r="A153" s="9"/>
      <c r="B153" s="9"/>
      <c r="C153" s="9"/>
      <c r="D153" s="9"/>
      <c r="E153" s="9"/>
      <c r="F153" s="9"/>
    </row>
    <row r="154" spans="1:6" x14ac:dyDescent="0.3">
      <c r="A154" s="9"/>
      <c r="B154" s="9"/>
      <c r="C154" s="9"/>
      <c r="D154" s="9"/>
      <c r="E154" s="9"/>
      <c r="F154" s="9"/>
    </row>
    <row r="155" spans="1:6" x14ac:dyDescent="0.3">
      <c r="A155" s="9"/>
      <c r="B155" s="9"/>
      <c r="C155" s="9"/>
      <c r="D155" s="9"/>
      <c r="E155" s="9"/>
      <c r="F155" s="9"/>
    </row>
    <row r="156" spans="1:6" x14ac:dyDescent="0.3">
      <c r="A156" s="9"/>
      <c r="B156" s="9"/>
      <c r="C156" s="9"/>
      <c r="D156" s="9"/>
      <c r="E156" s="9"/>
      <c r="F156" s="9"/>
    </row>
    <row r="157" spans="1:6" x14ac:dyDescent="0.3">
      <c r="A157" s="9"/>
      <c r="B157" s="9"/>
      <c r="C157" s="9"/>
      <c r="D157" s="9"/>
      <c r="E157" s="9"/>
      <c r="F157" s="9"/>
    </row>
    <row r="158" spans="1:6" x14ac:dyDescent="0.3">
      <c r="A158" s="9"/>
      <c r="B158" s="9"/>
      <c r="C158" s="9"/>
      <c r="D158" s="9"/>
      <c r="E158" s="9"/>
      <c r="F158" s="9"/>
    </row>
    <row r="159" spans="1:6" x14ac:dyDescent="0.3">
      <c r="A159" s="9"/>
      <c r="B159" s="9"/>
      <c r="C159" s="9"/>
      <c r="D159" s="9"/>
      <c r="E159" s="9"/>
      <c r="F159" s="9"/>
    </row>
    <row r="160" spans="1:6" x14ac:dyDescent="0.3">
      <c r="A160" s="9"/>
      <c r="B160" s="9"/>
      <c r="C160" s="9"/>
      <c r="D160" s="9"/>
      <c r="E160" s="9"/>
      <c r="F160" s="9"/>
    </row>
    <row r="161" spans="1:6" x14ac:dyDescent="0.3">
      <c r="A161" s="9"/>
      <c r="B161" s="9"/>
      <c r="C161" s="9"/>
      <c r="D161" s="9"/>
      <c r="E161" s="9"/>
      <c r="F161" s="9"/>
    </row>
    <row r="162" spans="1:6" x14ac:dyDescent="0.3">
      <c r="A162" s="9"/>
      <c r="B162" s="9"/>
      <c r="C162" s="9"/>
      <c r="D162" s="9"/>
      <c r="E162" s="9"/>
      <c r="F162" s="9"/>
    </row>
    <row r="163" spans="1:6" x14ac:dyDescent="0.3">
      <c r="A163" s="9"/>
      <c r="B163" s="9"/>
      <c r="C163" s="9"/>
      <c r="D163" s="9"/>
      <c r="E163" s="9"/>
      <c r="F163" s="9"/>
    </row>
    <row r="164" spans="1:6" x14ac:dyDescent="0.3">
      <c r="A164" s="9"/>
      <c r="B164" s="9"/>
      <c r="C164" s="9"/>
      <c r="D164" s="9"/>
      <c r="E164" s="9"/>
      <c r="F164" s="9"/>
    </row>
    <row r="165" spans="1:6" x14ac:dyDescent="0.3">
      <c r="A165" s="9"/>
      <c r="B165" s="9"/>
      <c r="C165" s="9"/>
      <c r="D165" s="9"/>
      <c r="E165" s="9"/>
      <c r="F165" s="9"/>
    </row>
    <row r="166" spans="1:6" x14ac:dyDescent="0.3">
      <c r="A166" s="9"/>
      <c r="B166" s="9"/>
      <c r="C166" s="9"/>
      <c r="D166" s="9"/>
      <c r="E166" s="9"/>
      <c r="F166" s="9"/>
    </row>
    <row r="167" spans="1:6" x14ac:dyDescent="0.3">
      <c r="A167" s="9"/>
      <c r="B167" s="9"/>
      <c r="C167" s="9"/>
      <c r="D167" s="9"/>
      <c r="E167" s="9"/>
      <c r="F167" s="9"/>
    </row>
    <row r="168" spans="1:6" x14ac:dyDescent="0.3">
      <c r="A168" s="9"/>
      <c r="B168" s="9"/>
      <c r="C168" s="9"/>
      <c r="D168" s="9"/>
      <c r="E168" s="9"/>
      <c r="F168" s="9"/>
    </row>
    <row r="169" spans="1:6" x14ac:dyDescent="0.3">
      <c r="A169" s="9"/>
      <c r="B169" s="9"/>
      <c r="C169" s="9"/>
      <c r="D169" s="9"/>
      <c r="E169" s="9"/>
      <c r="F169" s="9"/>
    </row>
    <row r="170" spans="1:6" x14ac:dyDescent="0.3">
      <c r="A170" s="9"/>
      <c r="B170" s="9"/>
      <c r="C170" s="9"/>
      <c r="D170" s="9"/>
      <c r="E170" s="9"/>
      <c r="F170" s="9"/>
    </row>
    <row r="171" spans="1:6" x14ac:dyDescent="0.3">
      <c r="A171" s="9"/>
      <c r="B171" s="9"/>
      <c r="C171" s="9"/>
      <c r="D171" s="9"/>
      <c r="E171" s="9"/>
      <c r="F171" s="9"/>
    </row>
    <row r="172" spans="1:6" x14ac:dyDescent="0.3">
      <c r="A172" s="9"/>
      <c r="B172" s="9"/>
      <c r="C172" s="9"/>
      <c r="D172" s="9"/>
      <c r="E172" s="9"/>
      <c r="F172" s="9"/>
    </row>
    <row r="173" spans="1:6" x14ac:dyDescent="0.3">
      <c r="A173" s="9"/>
      <c r="B173" s="9"/>
      <c r="C173" s="9"/>
      <c r="D173" s="9"/>
      <c r="E173" s="9"/>
      <c r="F173" s="9"/>
    </row>
    <row r="174" spans="1:6" x14ac:dyDescent="0.3">
      <c r="A174" s="9"/>
      <c r="B174" s="9"/>
      <c r="C174" s="9"/>
      <c r="D174" s="9"/>
      <c r="E174" s="9"/>
      <c r="F174" s="9"/>
    </row>
    <row r="175" spans="1:6" x14ac:dyDescent="0.3">
      <c r="A175" s="9"/>
      <c r="B175" s="9"/>
      <c r="C175" s="9"/>
      <c r="D175" s="9"/>
      <c r="E175" s="9"/>
      <c r="F175" s="9"/>
    </row>
    <row r="176" spans="1:6" x14ac:dyDescent="0.3">
      <c r="A176" s="9"/>
      <c r="B176" s="9"/>
      <c r="C176" s="9"/>
      <c r="D176" s="9"/>
      <c r="E176" s="9"/>
      <c r="F176" s="9"/>
    </row>
    <row r="177" spans="1:6" x14ac:dyDescent="0.3">
      <c r="A177" s="9"/>
      <c r="B177" s="9"/>
      <c r="C177" s="9"/>
      <c r="D177" s="9"/>
      <c r="E177" s="9"/>
      <c r="F177" s="9"/>
    </row>
    <row r="178" spans="1:6" x14ac:dyDescent="0.3">
      <c r="A178" s="9"/>
      <c r="B178" s="9"/>
      <c r="C178" s="9"/>
      <c r="D178" s="9"/>
      <c r="E178" s="9"/>
      <c r="F178" s="9"/>
    </row>
    <row r="179" spans="1:6" x14ac:dyDescent="0.3">
      <c r="A179" s="9"/>
      <c r="B179" s="9"/>
      <c r="C179" s="9"/>
      <c r="D179" s="9"/>
      <c r="E179" s="9"/>
      <c r="F179" s="9"/>
    </row>
    <row r="180" spans="1:6" x14ac:dyDescent="0.3">
      <c r="A180" s="9"/>
      <c r="B180" s="9"/>
      <c r="C180" s="9"/>
      <c r="D180" s="9"/>
      <c r="E180" s="9"/>
      <c r="F180" s="9"/>
    </row>
    <row r="181" spans="1:6" x14ac:dyDescent="0.3">
      <c r="A181" s="9"/>
      <c r="B181" s="9"/>
      <c r="C181" s="9"/>
      <c r="D181" s="9"/>
      <c r="E181" s="9"/>
      <c r="F181" s="9"/>
    </row>
    <row r="182" spans="1:6" x14ac:dyDescent="0.3">
      <c r="A182" s="9"/>
      <c r="B182" s="9"/>
      <c r="C182" s="9"/>
      <c r="D182" s="9"/>
      <c r="E182" s="9"/>
      <c r="F182" s="9"/>
    </row>
    <row r="183" spans="1:6" x14ac:dyDescent="0.3">
      <c r="A183" s="9"/>
      <c r="B183" s="9"/>
      <c r="C183" s="9"/>
      <c r="D183" s="9"/>
      <c r="E183" s="9"/>
      <c r="F183" s="9"/>
    </row>
    <row r="184" spans="1:6" x14ac:dyDescent="0.3">
      <c r="A184" s="9"/>
      <c r="B184" s="9"/>
      <c r="C184" s="9"/>
      <c r="D184" s="9"/>
      <c r="E184" s="9"/>
      <c r="F184" s="9"/>
    </row>
    <row r="185" spans="1:6" x14ac:dyDescent="0.3">
      <c r="A185" s="9"/>
      <c r="B185" s="9"/>
      <c r="C185" s="9"/>
      <c r="D185" s="9"/>
      <c r="E185" s="9"/>
      <c r="F185" s="9"/>
    </row>
    <row r="186" spans="1:6" x14ac:dyDescent="0.3">
      <c r="A186" s="9"/>
      <c r="B186" s="9"/>
      <c r="C186" s="9"/>
      <c r="D186" s="9"/>
      <c r="E186" s="9"/>
      <c r="F186" s="9"/>
    </row>
    <row r="187" spans="1:6" x14ac:dyDescent="0.3">
      <c r="A187" s="9"/>
      <c r="B187" s="9"/>
      <c r="C187" s="9"/>
      <c r="D187" s="9"/>
      <c r="E187" s="9"/>
      <c r="F187" s="9"/>
    </row>
    <row r="188" spans="1:6" x14ac:dyDescent="0.3">
      <c r="A188" s="9"/>
      <c r="B188" s="9"/>
      <c r="C188" s="9"/>
      <c r="D188" s="9"/>
      <c r="E188" s="9"/>
      <c r="F188" s="9"/>
    </row>
    <row r="189" spans="1:6" x14ac:dyDescent="0.3">
      <c r="A189" s="9"/>
      <c r="B189" s="9"/>
      <c r="C189" s="9"/>
      <c r="D189" s="9"/>
      <c r="E189" s="9"/>
      <c r="F189" s="9"/>
    </row>
    <row r="190" spans="1:6" x14ac:dyDescent="0.3">
      <c r="A190" s="9"/>
      <c r="B190" s="9"/>
      <c r="C190" s="9"/>
      <c r="D190" s="9"/>
      <c r="E190" s="9"/>
      <c r="F190" s="9"/>
    </row>
    <row r="191" spans="1:6" x14ac:dyDescent="0.3">
      <c r="A191" s="9"/>
      <c r="B191" s="9"/>
      <c r="C191" s="9"/>
      <c r="D191" s="9"/>
      <c r="E191" s="9"/>
      <c r="F191" s="9"/>
    </row>
    <row r="192" spans="1:6" x14ac:dyDescent="0.3">
      <c r="A192" s="9"/>
      <c r="B192" s="9"/>
      <c r="C192" s="9"/>
      <c r="D192" s="9"/>
      <c r="E192" s="9"/>
      <c r="F192" s="9"/>
    </row>
    <row r="193" spans="1:6" x14ac:dyDescent="0.3">
      <c r="A193" s="9"/>
      <c r="B193" s="9"/>
      <c r="C193" s="9"/>
      <c r="D193" s="9"/>
      <c r="E193" s="9"/>
      <c r="F193" s="9"/>
    </row>
    <row r="194" spans="1:6" x14ac:dyDescent="0.3">
      <c r="A194" s="9"/>
      <c r="B194" s="9"/>
      <c r="C194" s="9"/>
      <c r="D194" s="9"/>
      <c r="E194" s="9"/>
      <c r="F194" s="9"/>
    </row>
    <row r="195" spans="1:6" x14ac:dyDescent="0.3">
      <c r="A195" s="9"/>
      <c r="B195" s="9"/>
      <c r="C195" s="9"/>
      <c r="D195" s="9"/>
      <c r="E195" s="9"/>
      <c r="F195" s="9"/>
    </row>
    <row r="196" spans="1:6" x14ac:dyDescent="0.3">
      <c r="A196" s="9"/>
      <c r="B196" s="9"/>
      <c r="C196" s="9"/>
      <c r="D196" s="9"/>
      <c r="E196" s="9"/>
      <c r="F196" s="9"/>
    </row>
    <row r="197" spans="1:6" x14ac:dyDescent="0.3">
      <c r="A197" s="9"/>
      <c r="B197" s="9"/>
      <c r="C197" s="9"/>
      <c r="D197" s="9"/>
      <c r="E197" s="9"/>
      <c r="F197" s="9"/>
    </row>
    <row r="198" spans="1:6" x14ac:dyDescent="0.3">
      <c r="A198" s="9"/>
      <c r="B198" s="9"/>
      <c r="C198" s="9"/>
      <c r="D198" s="9"/>
      <c r="E198" s="9"/>
      <c r="F198" s="9"/>
    </row>
    <row r="199" spans="1:6" x14ac:dyDescent="0.3">
      <c r="A199" s="9"/>
      <c r="B199" s="9"/>
      <c r="C199" s="9"/>
      <c r="D199" s="9"/>
      <c r="E199" s="9"/>
      <c r="F199" s="9"/>
    </row>
    <row r="200" spans="1:6" x14ac:dyDescent="0.3">
      <c r="A200" s="9"/>
      <c r="B200" s="9"/>
      <c r="C200" s="9"/>
      <c r="D200" s="9"/>
      <c r="E200" s="9"/>
      <c r="F200" s="9"/>
    </row>
    <row r="201" spans="1:6" x14ac:dyDescent="0.3">
      <c r="A201" s="9"/>
      <c r="B201" s="9"/>
      <c r="C201" s="9"/>
      <c r="D201" s="9"/>
      <c r="E201" s="9"/>
      <c r="F201" s="9"/>
    </row>
    <row r="202" spans="1:6" x14ac:dyDescent="0.3">
      <c r="A202" s="9"/>
      <c r="B202" s="9"/>
      <c r="C202" s="9"/>
      <c r="D202" s="9"/>
      <c r="E202" s="9"/>
      <c r="F202" s="9"/>
    </row>
    <row r="203" spans="1:6" x14ac:dyDescent="0.3">
      <c r="A203" s="9"/>
      <c r="B203" s="9"/>
      <c r="C203" s="9"/>
      <c r="D203" s="9"/>
      <c r="E203" s="9"/>
      <c r="F203" s="9"/>
    </row>
    <row r="204" spans="1:6" x14ac:dyDescent="0.3">
      <c r="A204" s="9"/>
      <c r="B204" s="9"/>
      <c r="C204" s="9"/>
      <c r="D204" s="9"/>
      <c r="E204" s="9"/>
      <c r="F204" s="9"/>
    </row>
    <row r="205" spans="1:6" x14ac:dyDescent="0.3">
      <c r="A205" s="9"/>
      <c r="B205" s="9"/>
      <c r="C205" s="9"/>
      <c r="D205" s="9"/>
      <c r="E205" s="9"/>
      <c r="F205" s="9"/>
    </row>
    <row r="206" spans="1:6" x14ac:dyDescent="0.3">
      <c r="A206" s="9"/>
      <c r="B206" s="9"/>
      <c r="C206" s="9"/>
      <c r="D206" s="9"/>
      <c r="E206" s="9"/>
      <c r="F206" s="9"/>
    </row>
    <row r="207" spans="1:6" x14ac:dyDescent="0.3">
      <c r="A207" s="9"/>
      <c r="B207" s="9"/>
      <c r="C207" s="9"/>
      <c r="D207" s="9"/>
      <c r="E207" s="9"/>
      <c r="F207" s="9"/>
    </row>
    <row r="208" spans="1:6" x14ac:dyDescent="0.3">
      <c r="A208" s="9"/>
      <c r="B208" s="9"/>
      <c r="C208" s="9"/>
      <c r="D208" s="9"/>
      <c r="E208" s="9"/>
      <c r="F208" s="9"/>
    </row>
    <row r="209" spans="1:6" x14ac:dyDescent="0.3">
      <c r="A209" s="9"/>
      <c r="B209" s="9"/>
      <c r="C209" s="9"/>
      <c r="D209" s="9"/>
      <c r="E209" s="9"/>
      <c r="F209" s="9"/>
    </row>
    <row r="210" spans="1:6" x14ac:dyDescent="0.3">
      <c r="A210" s="9"/>
      <c r="B210" s="9"/>
      <c r="C210" s="9"/>
      <c r="D210" s="9"/>
      <c r="E210" s="9"/>
      <c r="F210" s="9"/>
    </row>
    <row r="211" spans="1:6" x14ac:dyDescent="0.3">
      <c r="A211" s="9"/>
      <c r="B211" s="9"/>
      <c r="C211" s="9"/>
      <c r="D211" s="9"/>
      <c r="E211" s="9"/>
      <c r="F211" s="9"/>
    </row>
    <row r="212" spans="1:6" x14ac:dyDescent="0.3">
      <c r="A212" s="9"/>
      <c r="B212" s="9"/>
      <c r="C212" s="9"/>
      <c r="D212" s="9"/>
      <c r="E212" s="9"/>
      <c r="F212" s="9"/>
    </row>
    <row r="213" spans="1:6" x14ac:dyDescent="0.3">
      <c r="A213" s="9"/>
      <c r="B213" s="9"/>
      <c r="C213" s="9"/>
      <c r="D213" s="9"/>
      <c r="E213" s="9"/>
      <c r="F213" s="9"/>
    </row>
    <row r="214" spans="1:6" x14ac:dyDescent="0.3">
      <c r="A214" s="9"/>
      <c r="B214" s="9"/>
      <c r="C214" s="9"/>
      <c r="D214" s="9"/>
      <c r="E214" s="9"/>
      <c r="F214" s="9"/>
    </row>
    <row r="215" spans="1:6" x14ac:dyDescent="0.3">
      <c r="A215" s="9"/>
      <c r="B215" s="9"/>
      <c r="C215" s="9"/>
      <c r="D215" s="9"/>
      <c r="E215" s="9"/>
      <c r="F215" s="9"/>
    </row>
    <row r="216" spans="1:6" x14ac:dyDescent="0.3">
      <c r="A216" s="9"/>
      <c r="B216" s="9"/>
      <c r="C216" s="9"/>
      <c r="D216" s="9"/>
      <c r="E216" s="9"/>
      <c r="F216" s="9"/>
    </row>
    <row r="217" spans="1:6" x14ac:dyDescent="0.3">
      <c r="A217" s="9"/>
      <c r="B217" s="9"/>
      <c r="C217" s="9"/>
      <c r="D217" s="9"/>
      <c r="E217" s="9"/>
      <c r="F217" s="9"/>
    </row>
    <row r="218" spans="1:6" x14ac:dyDescent="0.3">
      <c r="A218" s="9"/>
      <c r="B218" s="9"/>
      <c r="C218" s="9"/>
      <c r="D218" s="9"/>
      <c r="E218" s="9"/>
      <c r="F218" s="9"/>
    </row>
    <row r="219" spans="1:6" x14ac:dyDescent="0.3">
      <c r="A219" s="9"/>
      <c r="B219" s="9"/>
      <c r="C219" s="9"/>
      <c r="D219" s="9"/>
      <c r="E219" s="9"/>
      <c r="F219" s="9"/>
    </row>
    <row r="220" spans="1:6" x14ac:dyDescent="0.3">
      <c r="A220" s="9"/>
      <c r="B220" s="9"/>
      <c r="C220" s="9"/>
      <c r="D220" s="9"/>
      <c r="E220" s="9"/>
      <c r="F220" s="9"/>
    </row>
    <row r="221" spans="1:6" x14ac:dyDescent="0.3">
      <c r="A221" s="9"/>
      <c r="B221" s="9"/>
      <c r="C221" s="9"/>
      <c r="D221" s="9"/>
      <c r="E221" s="9"/>
      <c r="F221" s="9"/>
    </row>
    <row r="222" spans="1:6" x14ac:dyDescent="0.3">
      <c r="A222" s="9"/>
      <c r="B222" s="9"/>
      <c r="C222" s="9"/>
      <c r="D222" s="9"/>
      <c r="E222" s="9"/>
      <c r="F222" s="9"/>
    </row>
    <row r="223" spans="1:6" x14ac:dyDescent="0.3">
      <c r="A223" s="9"/>
      <c r="B223" s="9"/>
      <c r="C223" s="9"/>
      <c r="D223" s="9"/>
      <c r="E223" s="9"/>
      <c r="F223" s="9"/>
    </row>
    <row r="224" spans="1:6" x14ac:dyDescent="0.3">
      <c r="A224" s="9"/>
      <c r="B224" s="9"/>
      <c r="C224" s="9"/>
      <c r="D224" s="9"/>
      <c r="E224" s="9"/>
      <c r="F224" s="9"/>
    </row>
    <row r="225" spans="1:6" x14ac:dyDescent="0.3">
      <c r="A225" s="9"/>
      <c r="B225" s="9"/>
      <c r="C225" s="9"/>
      <c r="D225" s="9"/>
      <c r="E225" s="9"/>
      <c r="F225" s="9"/>
    </row>
    <row r="226" spans="1:6" x14ac:dyDescent="0.3">
      <c r="A226" s="9"/>
      <c r="B226" s="9"/>
      <c r="C226" s="9"/>
      <c r="D226" s="9"/>
      <c r="E226" s="9"/>
      <c r="F226" s="9"/>
    </row>
    <row r="227" spans="1:6" x14ac:dyDescent="0.3">
      <c r="A227" s="9"/>
      <c r="B227" s="9"/>
      <c r="C227" s="9"/>
      <c r="D227" s="9"/>
      <c r="E227" s="9"/>
      <c r="F227" s="9"/>
    </row>
    <row r="228" spans="1:6" x14ac:dyDescent="0.3">
      <c r="A228" s="9"/>
      <c r="B228" s="9"/>
      <c r="C228" s="9"/>
      <c r="D228" s="9"/>
      <c r="E228" s="9"/>
      <c r="F228" s="9"/>
    </row>
    <row r="229" spans="1:6" x14ac:dyDescent="0.3">
      <c r="A229" s="9"/>
      <c r="B229" s="9"/>
      <c r="C229" s="9"/>
      <c r="D229" s="9"/>
      <c r="E229" s="9"/>
      <c r="F229" s="9"/>
    </row>
    <row r="230" spans="1:6" x14ac:dyDescent="0.3">
      <c r="A230" s="9"/>
      <c r="B230" s="9"/>
      <c r="C230" s="9"/>
      <c r="D230" s="9"/>
      <c r="E230" s="9"/>
      <c r="F230" s="9"/>
    </row>
    <row r="231" spans="1:6" x14ac:dyDescent="0.3">
      <c r="A231" s="9"/>
      <c r="B231" s="9"/>
      <c r="C231" s="9"/>
      <c r="D231" s="9"/>
      <c r="E231" s="9"/>
      <c r="F231" s="9"/>
    </row>
    <row r="232" spans="1:6" x14ac:dyDescent="0.3">
      <c r="A232" s="9"/>
      <c r="B232" s="9"/>
      <c r="C232" s="9"/>
      <c r="D232" s="9"/>
      <c r="E232" s="9"/>
      <c r="F232" s="9"/>
    </row>
    <row r="233" spans="1:6" x14ac:dyDescent="0.3">
      <c r="A233" s="9"/>
      <c r="B233" s="9"/>
      <c r="C233" s="9"/>
      <c r="D233" s="9"/>
      <c r="E233" s="9"/>
      <c r="F233" s="9"/>
    </row>
    <row r="234" spans="1:6" x14ac:dyDescent="0.3">
      <c r="A234" s="9"/>
      <c r="B234" s="9"/>
      <c r="C234" s="9"/>
      <c r="D234" s="9"/>
      <c r="E234" s="9"/>
      <c r="F234" s="9"/>
    </row>
    <row r="235" spans="1:6" x14ac:dyDescent="0.3">
      <c r="A235" s="9"/>
      <c r="B235" s="9"/>
      <c r="C235" s="9"/>
      <c r="D235" s="9"/>
      <c r="E235" s="9"/>
      <c r="F235" s="9"/>
    </row>
    <row r="236" spans="1:6" x14ac:dyDescent="0.3">
      <c r="A236" s="9"/>
      <c r="B236" s="9"/>
      <c r="C236" s="9"/>
      <c r="D236" s="9"/>
      <c r="E236" s="9"/>
      <c r="F236" s="9"/>
    </row>
    <row r="237" spans="1:6" x14ac:dyDescent="0.3">
      <c r="A237" s="9"/>
      <c r="B237" s="9"/>
      <c r="C237" s="9"/>
      <c r="D237" s="9"/>
      <c r="E237" s="9"/>
      <c r="F237" s="9"/>
    </row>
    <row r="238" spans="1:6" x14ac:dyDescent="0.3">
      <c r="A238" s="9"/>
      <c r="B238" s="9"/>
      <c r="C238" s="9"/>
      <c r="D238" s="9"/>
      <c r="E238" s="9"/>
      <c r="F238" s="9"/>
    </row>
    <row r="239" spans="1:6" x14ac:dyDescent="0.3">
      <c r="A239" s="9"/>
      <c r="B239" s="9"/>
      <c r="C239" s="9"/>
      <c r="D239" s="9"/>
      <c r="E239" s="9"/>
      <c r="F239" s="9"/>
    </row>
    <row r="240" spans="1:6" x14ac:dyDescent="0.3">
      <c r="A240" s="9"/>
      <c r="B240" s="9"/>
      <c r="C240" s="9"/>
      <c r="D240" s="9"/>
      <c r="E240" s="9"/>
      <c r="F240" s="9"/>
    </row>
    <row r="241" spans="1:6" x14ac:dyDescent="0.3">
      <c r="A241" s="9"/>
      <c r="B241" s="9"/>
      <c r="C241" s="9"/>
      <c r="D241" s="9"/>
      <c r="E241" s="9"/>
      <c r="F241" s="9"/>
    </row>
    <row r="242" spans="1:6" x14ac:dyDescent="0.3">
      <c r="A242" s="9"/>
      <c r="B242" s="9"/>
      <c r="C242" s="9"/>
      <c r="D242" s="9"/>
      <c r="E242" s="9"/>
      <c r="F242" s="9"/>
    </row>
    <row r="243" spans="1:6" x14ac:dyDescent="0.3">
      <c r="A243" s="9"/>
      <c r="B243" s="9"/>
      <c r="C243" s="9"/>
      <c r="D243" s="9"/>
      <c r="E243" s="9"/>
      <c r="F243" s="9"/>
    </row>
    <row r="244" spans="1:6" x14ac:dyDescent="0.3">
      <c r="A244" s="9"/>
      <c r="B244" s="9"/>
      <c r="C244" s="9"/>
      <c r="D244" s="9"/>
      <c r="E244" s="9"/>
      <c r="F244" s="9"/>
    </row>
    <row r="245" spans="1:6" x14ac:dyDescent="0.3">
      <c r="A245" s="9"/>
      <c r="B245" s="9"/>
      <c r="C245" s="9"/>
      <c r="D245" s="9"/>
      <c r="E245" s="9"/>
      <c r="F245" s="9"/>
    </row>
    <row r="246" spans="1:6" x14ac:dyDescent="0.3">
      <c r="A246" s="9"/>
      <c r="B246" s="9"/>
      <c r="C246" s="9"/>
      <c r="D246" s="9"/>
      <c r="E246" s="9"/>
      <c r="F246" s="9"/>
    </row>
    <row r="247" spans="1:6" x14ac:dyDescent="0.3">
      <c r="A247" s="9"/>
      <c r="B247" s="9"/>
      <c r="C247" s="9"/>
      <c r="D247" s="9"/>
      <c r="E247" s="9"/>
      <c r="F247" s="9"/>
    </row>
    <row r="248" spans="1:6" x14ac:dyDescent="0.3">
      <c r="A248" s="9"/>
      <c r="B248" s="9"/>
      <c r="C248" s="9"/>
      <c r="D248" s="9"/>
      <c r="E248" s="9"/>
      <c r="F248" s="9"/>
    </row>
    <row r="249" spans="1:6" x14ac:dyDescent="0.3">
      <c r="A249" s="9"/>
      <c r="B249" s="9"/>
      <c r="C249" s="9"/>
      <c r="D249" s="9"/>
      <c r="E249" s="9"/>
      <c r="F249" s="9"/>
    </row>
    <row r="250" spans="1:6" x14ac:dyDescent="0.3">
      <c r="A250" s="9"/>
      <c r="B250" s="9"/>
      <c r="C250" s="9"/>
      <c r="D250" s="9"/>
      <c r="E250" s="9"/>
      <c r="F250" s="9"/>
    </row>
    <row r="251" spans="1:6" x14ac:dyDescent="0.3">
      <c r="A251" s="9"/>
      <c r="B251" s="9"/>
      <c r="C251" s="9"/>
      <c r="D251" s="9"/>
      <c r="E251" s="9"/>
      <c r="F251" s="9"/>
    </row>
    <row r="252" spans="1:6" x14ac:dyDescent="0.3">
      <c r="A252" s="9"/>
      <c r="B252" s="9"/>
      <c r="C252" s="9"/>
      <c r="D252" s="9"/>
      <c r="E252" s="9"/>
      <c r="F252" s="9"/>
    </row>
    <row r="253" spans="1:6" x14ac:dyDescent="0.3">
      <c r="A253" s="9"/>
      <c r="B253" s="9"/>
      <c r="C253" s="9"/>
      <c r="D253" s="9"/>
      <c r="E253" s="9"/>
      <c r="F253" s="9"/>
    </row>
    <row r="254" spans="1:6" x14ac:dyDescent="0.3">
      <c r="A254" s="9"/>
      <c r="B254" s="9"/>
      <c r="C254" s="9"/>
      <c r="D254" s="9"/>
      <c r="E254" s="9"/>
      <c r="F254" s="9"/>
    </row>
    <row r="255" spans="1:6" x14ac:dyDescent="0.3">
      <c r="A255" s="9"/>
      <c r="B255" s="9"/>
      <c r="C255" s="9"/>
      <c r="D255" s="9"/>
      <c r="E255" s="9"/>
      <c r="F255" s="9"/>
    </row>
    <row r="256" spans="1:6" x14ac:dyDescent="0.3">
      <c r="A256" s="9"/>
      <c r="B256" s="9"/>
      <c r="C256" s="9"/>
      <c r="D256" s="9"/>
      <c r="E256" s="9"/>
      <c r="F256" s="9"/>
    </row>
    <row r="257" spans="1:6" x14ac:dyDescent="0.3">
      <c r="A257" s="9"/>
      <c r="B257" s="9"/>
      <c r="C257" s="9"/>
      <c r="D257" s="9"/>
      <c r="E257" s="9"/>
      <c r="F257" s="9"/>
    </row>
    <row r="258" spans="1:6" x14ac:dyDescent="0.3">
      <c r="A258" s="9"/>
      <c r="B258" s="9"/>
      <c r="C258" s="9"/>
      <c r="D258" s="9"/>
      <c r="E258" s="9"/>
      <c r="F258" s="9"/>
    </row>
    <row r="259" spans="1:6" x14ac:dyDescent="0.3">
      <c r="A259" s="9"/>
      <c r="B259" s="9"/>
      <c r="C259" s="9"/>
      <c r="D259" s="9"/>
      <c r="E259" s="9"/>
      <c r="F259" s="9"/>
    </row>
    <row r="260" spans="1:6" x14ac:dyDescent="0.3">
      <c r="A260" s="9"/>
      <c r="B260" s="9"/>
      <c r="C260" s="9"/>
      <c r="D260" s="9"/>
      <c r="E260" s="9"/>
      <c r="F260" s="9"/>
    </row>
    <row r="261" spans="1:6" x14ac:dyDescent="0.3">
      <c r="A261" s="9"/>
      <c r="B261" s="9"/>
      <c r="C261" s="9"/>
      <c r="D261" s="9"/>
      <c r="E261" s="9"/>
      <c r="F261" s="9"/>
    </row>
    <row r="262" spans="1:6" x14ac:dyDescent="0.3">
      <c r="A262" s="9"/>
      <c r="B262" s="9"/>
      <c r="C262" s="9"/>
      <c r="D262" s="9"/>
      <c r="E262" s="9"/>
      <c r="F262" s="9"/>
    </row>
    <row r="263" spans="1:6" x14ac:dyDescent="0.3">
      <c r="A263" s="9"/>
      <c r="B263" s="9"/>
      <c r="C263" s="9"/>
      <c r="D263" s="9"/>
      <c r="E263" s="9"/>
      <c r="F263" s="9"/>
    </row>
    <row r="264" spans="1:6" x14ac:dyDescent="0.3">
      <c r="A264" s="9"/>
      <c r="B264" s="9"/>
      <c r="C264" s="9"/>
      <c r="D264" s="9"/>
      <c r="E264" s="9"/>
      <c r="F264" s="9"/>
    </row>
    <row r="265" spans="1:6" x14ac:dyDescent="0.3">
      <c r="A265" s="9"/>
      <c r="B265" s="9"/>
      <c r="C265" s="9"/>
      <c r="D265" s="9"/>
      <c r="E265" s="9"/>
      <c r="F265" s="9"/>
    </row>
    <row r="266" spans="1:6" x14ac:dyDescent="0.3">
      <c r="A266" s="9"/>
      <c r="B266" s="9"/>
      <c r="C266" s="9"/>
      <c r="D266" s="9"/>
      <c r="E266" s="9"/>
      <c r="F266" s="9"/>
    </row>
    <row r="267" spans="1:6" x14ac:dyDescent="0.3">
      <c r="A267" s="9"/>
      <c r="B267" s="9"/>
      <c r="C267" s="9"/>
      <c r="D267" s="9"/>
      <c r="E267" s="9"/>
      <c r="F267" s="9"/>
    </row>
    <row r="268" spans="1:6" x14ac:dyDescent="0.3">
      <c r="A268" s="9"/>
      <c r="B268" s="9"/>
      <c r="C268" s="9"/>
      <c r="D268" s="9"/>
      <c r="E268" s="9"/>
      <c r="F268" s="9"/>
    </row>
    <row r="269" spans="1:6" x14ac:dyDescent="0.3">
      <c r="A269" s="9"/>
      <c r="B269" s="9"/>
      <c r="C269" s="9"/>
      <c r="D269" s="9"/>
      <c r="E269" s="9"/>
      <c r="F269" s="9"/>
    </row>
    <row r="270" spans="1:6" x14ac:dyDescent="0.3">
      <c r="A270" s="9"/>
      <c r="B270" s="9"/>
      <c r="C270" s="9"/>
      <c r="D270" s="9"/>
      <c r="E270" s="9"/>
      <c r="F270" s="9"/>
    </row>
    <row r="271" spans="1:6" x14ac:dyDescent="0.3">
      <c r="A271" s="9"/>
      <c r="B271" s="9"/>
      <c r="C271" s="9"/>
      <c r="D271" s="9"/>
      <c r="E271" s="9"/>
      <c r="F271" s="9"/>
    </row>
    <row r="272" spans="1:6" x14ac:dyDescent="0.3">
      <c r="A272" s="9"/>
      <c r="B272" s="9"/>
      <c r="C272" s="9"/>
      <c r="D272" s="9"/>
      <c r="E272" s="9"/>
      <c r="F272" s="9"/>
    </row>
    <row r="273" spans="1:6" x14ac:dyDescent="0.3">
      <c r="A273" s="9"/>
      <c r="B273" s="9"/>
      <c r="C273" s="9"/>
      <c r="D273" s="9"/>
      <c r="E273" s="9"/>
      <c r="F273" s="9"/>
    </row>
    <row r="274" spans="1:6" x14ac:dyDescent="0.3">
      <c r="A274" s="9"/>
      <c r="B274" s="9"/>
      <c r="C274" s="9"/>
      <c r="D274" s="9"/>
      <c r="E274" s="9"/>
      <c r="F274" s="9"/>
    </row>
    <row r="275" spans="1:6" x14ac:dyDescent="0.3">
      <c r="A275" s="9"/>
      <c r="B275" s="9"/>
      <c r="C275" s="9"/>
      <c r="D275" s="9"/>
      <c r="E275" s="9"/>
      <c r="F275" s="9"/>
    </row>
    <row r="276" spans="1:6" x14ac:dyDescent="0.3">
      <c r="A276" s="9"/>
      <c r="B276" s="9"/>
      <c r="C276" s="9"/>
      <c r="D276" s="9"/>
      <c r="E276" s="9"/>
      <c r="F276" s="9"/>
    </row>
    <row r="277" spans="1:6" x14ac:dyDescent="0.3">
      <c r="A277" s="9"/>
      <c r="B277" s="9"/>
      <c r="C277" s="9"/>
      <c r="D277" s="9"/>
      <c r="E277" s="9"/>
      <c r="F277" s="9"/>
    </row>
    <row r="278" spans="1:6" x14ac:dyDescent="0.3">
      <c r="A278" s="9"/>
      <c r="B278" s="9"/>
      <c r="C278" s="9"/>
      <c r="D278" s="9"/>
      <c r="E278" s="9"/>
      <c r="F278" s="9"/>
    </row>
    <row r="279" spans="1:6" x14ac:dyDescent="0.3">
      <c r="A279" s="9"/>
      <c r="B279" s="9"/>
      <c r="C279" s="9"/>
      <c r="D279" s="9"/>
      <c r="E279" s="9"/>
      <c r="F279" s="9"/>
    </row>
    <row r="280" spans="1:6" x14ac:dyDescent="0.3">
      <c r="A280" s="9"/>
      <c r="B280" s="9"/>
      <c r="C280" s="9"/>
      <c r="D280" s="9"/>
      <c r="E280" s="9"/>
      <c r="F280" s="9"/>
    </row>
    <row r="281" spans="1:6" x14ac:dyDescent="0.3">
      <c r="A281" s="9"/>
      <c r="B281" s="9"/>
      <c r="C281" s="9"/>
      <c r="D281" s="9"/>
      <c r="E281" s="9"/>
      <c r="F281" s="9"/>
    </row>
    <row r="282" spans="1:6" x14ac:dyDescent="0.3">
      <c r="A282" s="9"/>
      <c r="B282" s="9"/>
      <c r="C282" s="9"/>
      <c r="D282" s="9"/>
      <c r="E282" s="9"/>
      <c r="F282" s="9"/>
    </row>
    <row r="283" spans="1:6" x14ac:dyDescent="0.3">
      <c r="A283" s="9"/>
      <c r="B283" s="9"/>
      <c r="C283" s="9"/>
      <c r="D283" s="9"/>
      <c r="E283" s="9"/>
      <c r="F283" s="9"/>
    </row>
    <row r="284" spans="1:6" x14ac:dyDescent="0.3">
      <c r="A284" s="9"/>
      <c r="B284" s="9"/>
      <c r="C284" s="9"/>
      <c r="D284" s="9"/>
      <c r="E284" s="9"/>
      <c r="F284" s="9"/>
    </row>
    <row r="285" spans="1:6" x14ac:dyDescent="0.3">
      <c r="A285" s="9"/>
      <c r="B285" s="9"/>
      <c r="C285" s="9"/>
      <c r="D285" s="9"/>
      <c r="E285" s="9"/>
      <c r="F285" s="9"/>
    </row>
    <row r="286" spans="1:6" x14ac:dyDescent="0.3">
      <c r="A286" s="9"/>
      <c r="B286" s="9"/>
      <c r="C286" s="9"/>
      <c r="D286" s="9"/>
      <c r="E286" s="9"/>
      <c r="F286" s="9"/>
    </row>
    <row r="287" spans="1:6" x14ac:dyDescent="0.3">
      <c r="A287" s="9"/>
      <c r="B287" s="9"/>
      <c r="C287" s="9"/>
      <c r="D287" s="9"/>
      <c r="E287" s="9"/>
      <c r="F287" s="9"/>
    </row>
    <row r="288" spans="1:6" x14ac:dyDescent="0.3">
      <c r="A288" s="9"/>
      <c r="B288" s="9"/>
      <c r="C288" s="9"/>
      <c r="D288" s="9"/>
      <c r="E288" s="9"/>
      <c r="F288" s="9"/>
    </row>
    <row r="289" spans="1:6" x14ac:dyDescent="0.3">
      <c r="A289" s="9"/>
      <c r="B289" s="9"/>
      <c r="C289" s="9"/>
      <c r="D289" s="9"/>
      <c r="E289" s="9"/>
      <c r="F289" s="9"/>
    </row>
    <row r="290" spans="1:6" x14ac:dyDescent="0.3">
      <c r="A290" s="9"/>
      <c r="B290" s="9"/>
      <c r="C290" s="9"/>
      <c r="D290" s="9"/>
      <c r="E290" s="9"/>
      <c r="F290" s="9"/>
    </row>
    <row r="291" spans="1:6" x14ac:dyDescent="0.3">
      <c r="A291" s="9"/>
      <c r="B291" s="9"/>
      <c r="C291" s="9"/>
      <c r="D291" s="9"/>
      <c r="E291" s="9"/>
      <c r="F291" s="9"/>
    </row>
    <row r="292" spans="1:6" x14ac:dyDescent="0.3">
      <c r="A292" s="9"/>
      <c r="B292" s="9"/>
      <c r="C292" s="9"/>
      <c r="D292" s="9"/>
      <c r="E292" s="9"/>
      <c r="F292" s="9"/>
    </row>
    <row r="293" spans="1:6" x14ac:dyDescent="0.3">
      <c r="A293" s="9"/>
      <c r="B293" s="9"/>
      <c r="C293" s="9"/>
      <c r="D293" s="9"/>
      <c r="E293" s="9"/>
      <c r="F293" s="9"/>
    </row>
    <row r="294" spans="1:6" x14ac:dyDescent="0.3">
      <c r="A294" s="9"/>
      <c r="B294" s="9"/>
      <c r="C294" s="9"/>
      <c r="D294" s="9"/>
      <c r="E294" s="9"/>
      <c r="F294" s="9"/>
    </row>
    <row r="295" spans="1:6" x14ac:dyDescent="0.3">
      <c r="A295" s="9"/>
      <c r="B295" s="9"/>
      <c r="C295" s="9"/>
      <c r="D295" s="9"/>
      <c r="E295" s="9"/>
      <c r="F295" s="9"/>
    </row>
    <row r="296" spans="1:6" x14ac:dyDescent="0.3">
      <c r="A296" s="9"/>
      <c r="B296" s="9"/>
      <c r="C296" s="9"/>
      <c r="D296" s="9"/>
      <c r="E296" s="9"/>
      <c r="F296" s="9"/>
    </row>
    <row r="297" spans="1:6" x14ac:dyDescent="0.3">
      <c r="A297" s="9"/>
      <c r="B297" s="9"/>
      <c r="C297" s="9"/>
      <c r="D297" s="9"/>
      <c r="E297" s="9"/>
      <c r="F297" s="9"/>
    </row>
    <row r="298" spans="1:6" x14ac:dyDescent="0.3">
      <c r="A298" s="9"/>
      <c r="B298" s="9"/>
      <c r="C298" s="9"/>
      <c r="D298" s="9"/>
      <c r="E298" s="9"/>
      <c r="F298" s="9"/>
    </row>
    <row r="299" spans="1:6" x14ac:dyDescent="0.3">
      <c r="A299" s="9"/>
      <c r="B299" s="9"/>
      <c r="C299" s="9"/>
      <c r="D299" s="9"/>
      <c r="E299" s="9"/>
      <c r="F299" s="9"/>
    </row>
    <row r="300" spans="1:6" x14ac:dyDescent="0.3">
      <c r="A300" s="9"/>
      <c r="B300" s="9"/>
      <c r="C300" s="9"/>
      <c r="D300" s="9"/>
      <c r="E300" s="9"/>
      <c r="F300" s="9"/>
    </row>
    <row r="301" spans="1:6" x14ac:dyDescent="0.3">
      <c r="A301" s="9"/>
      <c r="B301" s="9"/>
      <c r="C301" s="9"/>
      <c r="D301" s="9"/>
      <c r="E301" s="9"/>
      <c r="F301" s="9"/>
    </row>
    <row r="302" spans="1:6" x14ac:dyDescent="0.3">
      <c r="A302" s="9"/>
      <c r="B302" s="9"/>
      <c r="C302" s="9"/>
      <c r="D302" s="9"/>
      <c r="E302" s="9"/>
      <c r="F302" s="9"/>
    </row>
    <row r="303" spans="1:6" x14ac:dyDescent="0.3">
      <c r="A303" s="9"/>
      <c r="B303" s="9"/>
      <c r="C303" s="9"/>
      <c r="D303" s="9"/>
      <c r="E303" s="9"/>
      <c r="F303" s="9"/>
    </row>
    <row r="304" spans="1:6" x14ac:dyDescent="0.3">
      <c r="A304" s="9"/>
      <c r="B304" s="9"/>
      <c r="C304" s="9"/>
      <c r="D304" s="9"/>
      <c r="E304" s="9"/>
      <c r="F304" s="9"/>
    </row>
    <row r="305" spans="1:6" x14ac:dyDescent="0.3">
      <c r="A305" s="9"/>
      <c r="B305" s="9"/>
      <c r="C305" s="9"/>
      <c r="D305" s="9"/>
      <c r="E305" s="9"/>
      <c r="F305" s="9"/>
    </row>
  </sheetData>
  <mergeCells count="2">
    <mergeCell ref="A1:F1"/>
    <mergeCell ref="A2:F2"/>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18"/>
  <sheetViews>
    <sheetView zoomScale="90" zoomScaleNormal="90" workbookViewId="0"/>
  </sheetViews>
  <sheetFormatPr defaultColWidth="8.6640625" defaultRowHeight="14.4" x14ac:dyDescent="0.3"/>
  <cols>
    <col min="1" max="1" width="44" customWidth="1"/>
    <col min="2" max="2" width="30" customWidth="1"/>
    <col min="3" max="3" width="16" customWidth="1"/>
    <col min="4" max="4" width="22" customWidth="1"/>
    <col min="5" max="5" width="30" customWidth="1"/>
    <col min="6" max="6" width="32" customWidth="1"/>
    <col min="7" max="7" width="30" customWidth="1"/>
    <col min="8" max="9" width="16" customWidth="1"/>
    <col min="10" max="10" width="19" customWidth="1"/>
    <col min="11" max="11" width="34" customWidth="1"/>
    <col min="12" max="12" width="16" customWidth="1"/>
    <col min="13" max="13" width="29" customWidth="1"/>
    <col min="14" max="14" width="27" customWidth="1"/>
  </cols>
  <sheetData>
    <row r="1" spans="1:14" x14ac:dyDescent="0.3">
      <c r="A1" s="12" t="s">
        <v>335</v>
      </c>
      <c r="B1" s="12" t="s">
        <v>336</v>
      </c>
      <c r="C1" s="12" t="s">
        <v>56</v>
      </c>
      <c r="D1" s="12" t="s">
        <v>337</v>
      </c>
      <c r="E1" s="12" t="s">
        <v>58</v>
      </c>
      <c r="F1" s="12" t="s">
        <v>59</v>
      </c>
      <c r="G1" s="12" t="s">
        <v>62</v>
      </c>
      <c r="H1" s="12" t="s">
        <v>338</v>
      </c>
      <c r="I1" s="12" t="s">
        <v>115</v>
      </c>
      <c r="J1" s="12" t="s">
        <v>116</v>
      </c>
      <c r="K1" s="12" t="s">
        <v>186</v>
      </c>
      <c r="L1" s="12" t="s">
        <v>339</v>
      </c>
      <c r="M1" s="12" t="s">
        <v>68</v>
      </c>
      <c r="N1" s="12" t="s">
        <v>65</v>
      </c>
    </row>
    <row r="2" spans="1:14" x14ac:dyDescent="0.3">
      <c r="A2" s="13" t="s">
        <v>121</v>
      </c>
      <c r="B2" s="13" t="s">
        <v>191</v>
      </c>
      <c r="C2" s="13" t="s">
        <v>340</v>
      </c>
      <c r="D2" s="13" t="s">
        <v>75</v>
      </c>
      <c r="E2" s="13" t="s">
        <v>76</v>
      </c>
      <c r="F2" s="13" t="s">
        <v>77</v>
      </c>
      <c r="G2" s="13" t="s">
        <v>341</v>
      </c>
      <c r="H2" s="13" t="s">
        <v>104</v>
      </c>
      <c r="I2" s="13" t="s">
        <v>342</v>
      </c>
      <c r="J2" s="13" t="s">
        <v>343</v>
      </c>
      <c r="K2" s="13" t="s">
        <v>193</v>
      </c>
      <c r="L2" s="13" t="s">
        <v>157</v>
      </c>
      <c r="M2" s="13" t="s">
        <v>82</v>
      </c>
      <c r="N2" s="13" t="s">
        <v>81</v>
      </c>
    </row>
    <row r="3" spans="1:14" x14ac:dyDescent="0.3">
      <c r="A3" s="13" t="s">
        <v>123</v>
      </c>
      <c r="B3" s="13" t="s">
        <v>204</v>
      </c>
      <c r="C3" s="13" t="s">
        <v>90</v>
      </c>
      <c r="D3" s="13" t="s">
        <v>344</v>
      </c>
      <c r="E3" s="13" t="s">
        <v>101</v>
      </c>
      <c r="F3" s="13" t="s">
        <v>86</v>
      </c>
      <c r="G3" s="13" t="s">
        <v>78</v>
      </c>
      <c r="H3" s="13" t="s">
        <v>80</v>
      </c>
      <c r="I3" s="13" t="s">
        <v>345</v>
      </c>
      <c r="J3" s="13" t="s">
        <v>346</v>
      </c>
      <c r="K3" s="13" t="s">
        <v>347</v>
      </c>
      <c r="L3" s="13" t="s">
        <v>135</v>
      </c>
      <c r="M3" s="13" t="s">
        <v>348</v>
      </c>
      <c r="N3" s="13" t="s">
        <v>349</v>
      </c>
    </row>
    <row r="4" spans="1:14" x14ac:dyDescent="0.3">
      <c r="A4" s="13" t="s">
        <v>125</v>
      </c>
      <c r="B4" s="13" t="s">
        <v>211</v>
      </c>
      <c r="C4" s="13" t="s">
        <v>74</v>
      </c>
      <c r="D4" s="13" t="s">
        <v>85</v>
      </c>
      <c r="E4" s="13" t="s">
        <v>92</v>
      </c>
      <c r="F4" s="13" t="s">
        <v>350</v>
      </c>
      <c r="G4" s="13" t="s">
        <v>87</v>
      </c>
      <c r="J4" s="13" t="s">
        <v>351</v>
      </c>
      <c r="M4" s="13" t="s">
        <v>352</v>
      </c>
      <c r="N4" s="13" t="s">
        <v>353</v>
      </c>
    </row>
    <row r="5" spans="1:14" x14ac:dyDescent="0.3">
      <c r="A5" s="13" t="s">
        <v>128</v>
      </c>
      <c r="B5" s="13" t="s">
        <v>214</v>
      </c>
      <c r="D5" s="13" t="s">
        <v>354</v>
      </c>
      <c r="E5" s="13" t="s">
        <v>355</v>
      </c>
      <c r="F5" s="13" t="s">
        <v>93</v>
      </c>
      <c r="G5" s="13" t="s">
        <v>356</v>
      </c>
      <c r="J5" s="13" t="s">
        <v>357</v>
      </c>
      <c r="N5" s="13" t="s">
        <v>97</v>
      </c>
    </row>
    <row r="6" spans="1:14" x14ac:dyDescent="0.3">
      <c r="A6" s="13" t="s">
        <v>129</v>
      </c>
      <c r="B6" s="13" t="s">
        <v>122</v>
      </c>
      <c r="D6" s="13" t="s">
        <v>358</v>
      </c>
      <c r="E6" s="13" t="s">
        <v>359</v>
      </c>
      <c r="F6" s="13" t="s">
        <v>360</v>
      </c>
      <c r="G6" s="13" t="s">
        <v>94</v>
      </c>
      <c r="J6" s="13" t="s">
        <v>361</v>
      </c>
    </row>
    <row r="7" spans="1:14" x14ac:dyDescent="0.3">
      <c r="A7" s="13" t="s">
        <v>139</v>
      </c>
      <c r="B7" s="13" t="s">
        <v>124</v>
      </c>
      <c r="D7" s="13" t="s">
        <v>91</v>
      </c>
      <c r="F7" s="13" t="s">
        <v>362</v>
      </c>
      <c r="G7" s="13" t="s">
        <v>363</v>
      </c>
      <c r="J7" s="13" t="s">
        <v>364</v>
      </c>
    </row>
    <row r="8" spans="1:14" x14ac:dyDescent="0.3">
      <c r="A8" s="13" t="s">
        <v>136</v>
      </c>
      <c r="B8" s="13" t="s">
        <v>127</v>
      </c>
      <c r="D8" s="13" t="s">
        <v>365</v>
      </c>
      <c r="F8" s="13" t="s">
        <v>102</v>
      </c>
      <c r="G8" s="13" t="s">
        <v>366</v>
      </c>
      <c r="J8" s="13" t="s">
        <v>367</v>
      </c>
    </row>
    <row r="9" spans="1:14" x14ac:dyDescent="0.3">
      <c r="A9" s="13" t="s">
        <v>130</v>
      </c>
      <c r="B9" s="13" t="s">
        <v>137</v>
      </c>
      <c r="D9" s="13" t="s">
        <v>368</v>
      </c>
      <c r="F9" s="13" t="s">
        <v>369</v>
      </c>
      <c r="G9" s="13" t="s">
        <v>103</v>
      </c>
    </row>
    <row r="10" spans="1:14" x14ac:dyDescent="0.3">
      <c r="A10" s="13" t="s">
        <v>133</v>
      </c>
      <c r="B10" s="13" t="s">
        <v>131</v>
      </c>
      <c r="D10" s="13" t="s">
        <v>370</v>
      </c>
      <c r="G10" s="13" t="s">
        <v>371</v>
      </c>
    </row>
    <row r="11" spans="1:14" x14ac:dyDescent="0.3">
      <c r="A11" s="13" t="s">
        <v>372</v>
      </c>
      <c r="B11" s="13" t="s">
        <v>251</v>
      </c>
      <c r="D11" s="13" t="s">
        <v>100</v>
      </c>
    </row>
    <row r="12" spans="1:14" x14ac:dyDescent="0.3">
      <c r="A12" s="13" t="s">
        <v>134</v>
      </c>
      <c r="B12" s="13" t="s">
        <v>276</v>
      </c>
      <c r="D12" s="13" t="s">
        <v>373</v>
      </c>
    </row>
    <row r="13" spans="1:14" x14ac:dyDescent="0.3">
      <c r="A13" s="13" t="s">
        <v>374</v>
      </c>
      <c r="B13" s="13" t="s">
        <v>289</v>
      </c>
      <c r="D13" s="13" t="s">
        <v>375</v>
      </c>
    </row>
    <row r="14" spans="1:14" x14ac:dyDescent="0.3">
      <c r="A14" s="13" t="s">
        <v>278</v>
      </c>
      <c r="B14" s="13" t="s">
        <v>293</v>
      </c>
      <c r="D14" s="13" t="s">
        <v>376</v>
      </c>
    </row>
    <row r="15" spans="1:14" x14ac:dyDescent="0.3">
      <c r="A15" s="13" t="s">
        <v>135</v>
      </c>
      <c r="B15" s="13" t="s">
        <v>377</v>
      </c>
      <c r="D15" s="13" t="s">
        <v>378</v>
      </c>
    </row>
    <row r="16" spans="1:14" x14ac:dyDescent="0.3">
      <c r="A16" s="13" t="s">
        <v>379</v>
      </c>
      <c r="D16" s="13" t="s">
        <v>380</v>
      </c>
    </row>
    <row r="17" spans="1:1" x14ac:dyDescent="0.3">
      <c r="A17" s="13" t="s">
        <v>381</v>
      </c>
    </row>
    <row r="18" spans="1:1" x14ac:dyDescent="0.3">
      <c r="A18" s="13" t="s">
        <v>382</v>
      </c>
    </row>
  </sheetData>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FF6A1-398A-46DA-A46A-B5193DB761F1}">
  <dimension ref="A1:K38"/>
  <sheetViews>
    <sheetView workbookViewId="0">
      <selection activeCell="D12" sqref="D12"/>
    </sheetView>
  </sheetViews>
  <sheetFormatPr defaultColWidth="9.109375" defaultRowHeight="14.4" x14ac:dyDescent="0.3"/>
  <cols>
    <col min="1" max="1" width="5" bestFit="1" customWidth="1"/>
    <col min="2" max="2" width="15.6640625" bestFit="1" customWidth="1"/>
    <col min="3" max="3" width="39.109375" bestFit="1" customWidth="1"/>
    <col min="4" max="4" width="91.33203125" bestFit="1" customWidth="1"/>
    <col min="5" max="5" width="86" bestFit="1" customWidth="1"/>
    <col min="6" max="6" width="26" bestFit="1" customWidth="1"/>
    <col min="7" max="7" width="6" bestFit="1" customWidth="1"/>
    <col min="8" max="8" width="74.109375" bestFit="1" customWidth="1"/>
    <col min="10" max="10" width="35" bestFit="1" customWidth="1"/>
    <col min="11" max="11" width="6.5546875" bestFit="1" customWidth="1"/>
  </cols>
  <sheetData>
    <row r="1" spans="1:11" x14ac:dyDescent="0.3">
      <c r="A1" s="50" t="s">
        <v>487</v>
      </c>
      <c r="B1" s="50"/>
      <c r="C1" s="50"/>
      <c r="D1" s="50"/>
      <c r="E1" s="50"/>
      <c r="F1" s="50"/>
      <c r="G1" s="50"/>
      <c r="H1" s="50"/>
      <c r="J1" s="50" t="s">
        <v>615</v>
      </c>
      <c r="K1" s="50"/>
    </row>
    <row r="2" spans="1:11" x14ac:dyDescent="0.3">
      <c r="A2" s="50" t="s">
        <v>488</v>
      </c>
      <c r="B2" s="50"/>
      <c r="C2" s="50"/>
      <c r="D2" s="50"/>
      <c r="E2" s="50"/>
      <c r="F2" s="50"/>
      <c r="G2" s="50"/>
      <c r="H2" s="50"/>
    </row>
    <row r="3" spans="1:11" x14ac:dyDescent="0.3">
      <c r="J3" t="s">
        <v>616</v>
      </c>
      <c r="K3" t="s">
        <v>617</v>
      </c>
    </row>
    <row r="4" spans="1:11" x14ac:dyDescent="0.3">
      <c r="A4" t="s">
        <v>489</v>
      </c>
      <c r="B4" t="s">
        <v>490</v>
      </c>
      <c r="C4" t="s">
        <v>491</v>
      </c>
      <c r="D4" t="s">
        <v>492</v>
      </c>
      <c r="E4" t="s">
        <v>493</v>
      </c>
      <c r="F4" t="s">
        <v>494</v>
      </c>
      <c r="G4" t="s">
        <v>68</v>
      </c>
      <c r="H4" t="s">
        <v>495</v>
      </c>
      <c r="J4" t="s">
        <v>618</v>
      </c>
      <c r="K4" s="14">
        <f>PI()/4*((356+2*10)^2-356^2)*218/1000000000*7850</f>
        <v>19.676919479602862</v>
      </c>
    </row>
    <row r="5" spans="1:11" x14ac:dyDescent="0.3">
      <c r="A5" t="s">
        <v>496</v>
      </c>
      <c r="B5" t="s">
        <v>497</v>
      </c>
      <c r="C5" t="s">
        <v>498</v>
      </c>
      <c r="D5" t="s">
        <v>499</v>
      </c>
      <c r="E5" t="s">
        <v>500</v>
      </c>
      <c r="F5" t="s">
        <v>501</v>
      </c>
      <c r="G5" t="s">
        <v>502</v>
      </c>
      <c r="H5" t="s">
        <v>862</v>
      </c>
      <c r="J5" t="s">
        <v>619</v>
      </c>
      <c r="K5" s="14">
        <v>170.33975868626692</v>
      </c>
    </row>
    <row r="6" spans="1:11" x14ac:dyDescent="0.3">
      <c r="A6" t="s">
        <v>503</v>
      </c>
      <c r="B6" t="s">
        <v>504</v>
      </c>
      <c r="C6" t="s">
        <v>505</v>
      </c>
      <c r="D6" t="s">
        <v>506</v>
      </c>
      <c r="E6" t="s">
        <v>507</v>
      </c>
      <c r="F6" t="s">
        <v>508</v>
      </c>
      <c r="G6" t="s">
        <v>502</v>
      </c>
      <c r="H6" t="s">
        <v>861</v>
      </c>
      <c r="J6" t="s">
        <v>620</v>
      </c>
      <c r="K6" s="14">
        <f>K5-K4</f>
        <v>150.66283920666405</v>
      </c>
    </row>
    <row r="7" spans="1:11" x14ac:dyDescent="0.3">
      <c r="A7" t="s">
        <v>509</v>
      </c>
      <c r="B7" t="s">
        <v>510</v>
      </c>
      <c r="C7" t="s">
        <v>511</v>
      </c>
      <c r="D7" t="s">
        <v>512</v>
      </c>
      <c r="E7" t="s">
        <v>513</v>
      </c>
      <c r="F7" t="s">
        <v>514</v>
      </c>
      <c r="G7" t="s">
        <v>502</v>
      </c>
      <c r="H7" t="s">
        <v>860</v>
      </c>
      <c r="J7" t="s">
        <v>621</v>
      </c>
      <c r="K7" s="14">
        <f>38.01+30.79+33.84</f>
        <v>102.64</v>
      </c>
    </row>
    <row r="8" spans="1:11" x14ac:dyDescent="0.3">
      <c r="A8" t="s">
        <v>515</v>
      </c>
      <c r="B8" t="s">
        <v>516</v>
      </c>
      <c r="C8" t="s">
        <v>517</v>
      </c>
      <c r="D8" t="s">
        <v>518</v>
      </c>
      <c r="E8" t="s">
        <v>519</v>
      </c>
      <c r="F8" t="s">
        <v>520</v>
      </c>
      <c r="G8" t="s">
        <v>502</v>
      </c>
      <c r="H8" t="s">
        <v>521</v>
      </c>
    </row>
    <row r="9" spans="1:11" x14ac:dyDescent="0.3">
      <c r="A9" t="s">
        <v>522</v>
      </c>
      <c r="B9" t="s">
        <v>523</v>
      </c>
      <c r="C9" t="s">
        <v>524</v>
      </c>
      <c r="D9" t="s">
        <v>525</v>
      </c>
      <c r="E9" t="s">
        <v>526</v>
      </c>
      <c r="F9" t="s">
        <v>514</v>
      </c>
      <c r="G9" t="s">
        <v>502</v>
      </c>
      <c r="H9" t="s">
        <v>527</v>
      </c>
    </row>
    <row r="10" spans="1:11" x14ac:dyDescent="0.3">
      <c r="A10" t="s">
        <v>528</v>
      </c>
      <c r="B10" t="s">
        <v>529</v>
      </c>
      <c r="C10" t="s">
        <v>530</v>
      </c>
      <c r="D10" t="s">
        <v>531</v>
      </c>
      <c r="E10" t="s">
        <v>532</v>
      </c>
      <c r="F10" t="s">
        <v>191</v>
      </c>
      <c r="G10" t="s">
        <v>502</v>
      </c>
      <c r="H10" t="s">
        <v>533</v>
      </c>
    </row>
    <row r="11" spans="1:11" x14ac:dyDescent="0.3">
      <c r="A11" t="s">
        <v>534</v>
      </c>
      <c r="B11" t="s">
        <v>535</v>
      </c>
      <c r="C11" t="s">
        <v>536</v>
      </c>
      <c r="D11" t="s">
        <v>537</v>
      </c>
      <c r="E11" t="s">
        <v>538</v>
      </c>
      <c r="F11" t="s">
        <v>508</v>
      </c>
      <c r="G11" t="s">
        <v>502</v>
      </c>
      <c r="H11" t="s">
        <v>539</v>
      </c>
    </row>
    <row r="12" spans="1:11" x14ac:dyDescent="0.3">
      <c r="A12" t="s">
        <v>540</v>
      </c>
      <c r="B12" t="s">
        <v>541</v>
      </c>
      <c r="C12" t="s">
        <v>542</v>
      </c>
      <c r="D12" t="s">
        <v>543</v>
      </c>
      <c r="E12" t="s">
        <v>544</v>
      </c>
      <c r="F12" t="s">
        <v>508</v>
      </c>
      <c r="G12" t="s">
        <v>502</v>
      </c>
      <c r="H12" t="s">
        <v>545</v>
      </c>
    </row>
    <row r="13" spans="1:11" x14ac:dyDescent="0.3">
      <c r="A13" t="s">
        <v>546</v>
      </c>
      <c r="B13" t="s">
        <v>547</v>
      </c>
      <c r="C13" t="s">
        <v>548</v>
      </c>
      <c r="D13" t="s">
        <v>549</v>
      </c>
      <c r="E13" t="s">
        <v>550</v>
      </c>
      <c r="F13" t="s">
        <v>551</v>
      </c>
      <c r="G13" t="s">
        <v>502</v>
      </c>
      <c r="H13" t="s">
        <v>552</v>
      </c>
    </row>
    <row r="14" spans="1:11" x14ac:dyDescent="0.3">
      <c r="A14" t="s">
        <v>553</v>
      </c>
      <c r="B14" t="s">
        <v>554</v>
      </c>
      <c r="C14" t="s">
        <v>555</v>
      </c>
      <c r="D14" t="s">
        <v>556</v>
      </c>
      <c r="E14" t="s">
        <v>557</v>
      </c>
      <c r="F14" t="s">
        <v>551</v>
      </c>
      <c r="G14" t="s">
        <v>502</v>
      </c>
      <c r="H14" t="s">
        <v>558</v>
      </c>
    </row>
    <row r="15" spans="1:11" x14ac:dyDescent="0.3">
      <c r="A15" t="s">
        <v>559</v>
      </c>
      <c r="B15" t="s">
        <v>560</v>
      </c>
      <c r="C15" t="s">
        <v>517</v>
      </c>
      <c r="D15" t="s">
        <v>561</v>
      </c>
      <c r="E15" t="s">
        <v>562</v>
      </c>
      <c r="F15" t="s">
        <v>551</v>
      </c>
      <c r="G15" t="s">
        <v>502</v>
      </c>
      <c r="H15" t="s">
        <v>563</v>
      </c>
    </row>
    <row r="16" spans="1:11" x14ac:dyDescent="0.3">
      <c r="A16" t="s">
        <v>564</v>
      </c>
      <c r="B16" t="s">
        <v>565</v>
      </c>
      <c r="C16" t="s">
        <v>566</v>
      </c>
      <c r="D16" t="s">
        <v>567</v>
      </c>
      <c r="E16" t="s">
        <v>568</v>
      </c>
      <c r="F16" t="s">
        <v>569</v>
      </c>
      <c r="G16" t="s">
        <v>502</v>
      </c>
      <c r="H16" t="s">
        <v>570</v>
      </c>
    </row>
    <row r="17" spans="1:8" x14ac:dyDescent="0.3">
      <c r="A17" t="s">
        <v>571</v>
      </c>
      <c r="B17" t="s">
        <v>572</v>
      </c>
      <c r="C17" t="s">
        <v>573</v>
      </c>
      <c r="D17" t="s">
        <v>574</v>
      </c>
      <c r="E17" t="s">
        <v>575</v>
      </c>
      <c r="F17" t="s">
        <v>551</v>
      </c>
      <c r="G17" t="s">
        <v>502</v>
      </c>
      <c r="H17" t="s">
        <v>576</v>
      </c>
    </row>
    <row r="18" spans="1:8" x14ac:dyDescent="0.3">
      <c r="A18" t="s">
        <v>577</v>
      </c>
      <c r="B18" t="s">
        <v>578</v>
      </c>
      <c r="C18" t="s">
        <v>579</v>
      </c>
      <c r="D18" t="s">
        <v>580</v>
      </c>
      <c r="E18" t="s">
        <v>581</v>
      </c>
      <c r="F18" t="s">
        <v>551</v>
      </c>
      <c r="G18" t="s">
        <v>502</v>
      </c>
      <c r="H18" t="s">
        <v>582</v>
      </c>
    </row>
    <row r="19" spans="1:8" x14ac:dyDescent="0.3">
      <c r="A19" t="s">
        <v>583</v>
      </c>
      <c r="B19" t="s">
        <v>584</v>
      </c>
      <c r="C19" t="s">
        <v>585</v>
      </c>
      <c r="D19" t="s">
        <v>586</v>
      </c>
      <c r="E19" t="s">
        <v>587</v>
      </c>
      <c r="F19" t="s">
        <v>588</v>
      </c>
      <c r="G19" t="s">
        <v>502</v>
      </c>
      <c r="H19" t="s">
        <v>589</v>
      </c>
    </row>
    <row r="20" spans="1:8" x14ac:dyDescent="0.3">
      <c r="A20" t="s">
        <v>590</v>
      </c>
      <c r="B20" t="s">
        <v>591</v>
      </c>
      <c r="C20" t="s">
        <v>592</v>
      </c>
      <c r="D20" t="s">
        <v>593</v>
      </c>
      <c r="E20" t="s">
        <v>594</v>
      </c>
      <c r="F20" t="s">
        <v>595</v>
      </c>
      <c r="G20" t="s">
        <v>502</v>
      </c>
      <c r="H20" t="s">
        <v>596</v>
      </c>
    </row>
    <row r="21" spans="1:8" x14ac:dyDescent="0.3">
      <c r="A21" t="s">
        <v>597</v>
      </c>
      <c r="B21" t="s">
        <v>598</v>
      </c>
      <c r="C21" t="s">
        <v>599</v>
      </c>
      <c r="D21" t="s">
        <v>863</v>
      </c>
      <c r="E21" t="s">
        <v>600</v>
      </c>
      <c r="F21" t="s">
        <v>601</v>
      </c>
      <c r="G21" t="s">
        <v>502</v>
      </c>
      <c r="H21" t="s">
        <v>864</v>
      </c>
    </row>
    <row r="22" spans="1:8" x14ac:dyDescent="0.3">
      <c r="A22" t="s">
        <v>602</v>
      </c>
      <c r="B22" t="s">
        <v>603</v>
      </c>
      <c r="C22" t="s">
        <v>604</v>
      </c>
      <c r="D22" t="s">
        <v>605</v>
      </c>
      <c r="E22" t="s">
        <v>606</v>
      </c>
      <c r="F22" t="s">
        <v>607</v>
      </c>
      <c r="G22" t="s">
        <v>502</v>
      </c>
      <c r="H22" t="s">
        <v>608</v>
      </c>
    </row>
    <row r="23" spans="1:8" x14ac:dyDescent="0.3">
      <c r="A23" t="s">
        <v>609</v>
      </c>
      <c r="B23" t="s">
        <v>610</v>
      </c>
      <c r="C23" t="s">
        <v>611</v>
      </c>
      <c r="D23" t="s">
        <v>612</v>
      </c>
      <c r="E23" t="s">
        <v>613</v>
      </c>
      <c r="F23" t="s">
        <v>595</v>
      </c>
      <c r="G23" t="s">
        <v>502</v>
      </c>
      <c r="H23" t="s">
        <v>614</v>
      </c>
    </row>
    <row r="24" spans="1:8" ht="28.8" x14ac:dyDescent="0.3">
      <c r="A24" s="34" t="s">
        <v>865</v>
      </c>
      <c r="B24" s="34" t="s">
        <v>866</v>
      </c>
      <c r="C24" s="34" t="s">
        <v>867</v>
      </c>
      <c r="D24" s="34" t="s">
        <v>868</v>
      </c>
      <c r="E24" s="34" t="s">
        <v>869</v>
      </c>
      <c r="F24" s="34" t="s">
        <v>870</v>
      </c>
      <c r="G24" s="34" t="s">
        <v>502</v>
      </c>
      <c r="H24" s="34" t="s">
        <v>871</v>
      </c>
    </row>
    <row r="25" spans="1:8" ht="28.8" x14ac:dyDescent="0.3">
      <c r="A25" s="34" t="s">
        <v>872</v>
      </c>
      <c r="B25" s="34" t="s">
        <v>873</v>
      </c>
      <c r="C25" s="34" t="s">
        <v>874</v>
      </c>
      <c r="D25" s="34" t="s">
        <v>875</v>
      </c>
      <c r="E25" s="34" t="s">
        <v>876</v>
      </c>
      <c r="F25" s="34" t="s">
        <v>877</v>
      </c>
      <c r="G25" s="34" t="s">
        <v>502</v>
      </c>
      <c r="H25" s="34" t="s">
        <v>878</v>
      </c>
    </row>
    <row r="26" spans="1:8" ht="28.8" x14ac:dyDescent="0.3">
      <c r="A26" s="34" t="s">
        <v>879</v>
      </c>
      <c r="B26" s="34" t="s">
        <v>880</v>
      </c>
      <c r="C26" s="34" t="s">
        <v>881</v>
      </c>
      <c r="D26" s="34" t="s">
        <v>882</v>
      </c>
      <c r="E26" s="34" t="s">
        <v>883</v>
      </c>
      <c r="F26" s="34" t="s">
        <v>884</v>
      </c>
      <c r="G26" s="34" t="s">
        <v>502</v>
      </c>
      <c r="H26" s="34" t="s">
        <v>885</v>
      </c>
    </row>
    <row r="27" spans="1:8" ht="28.8" x14ac:dyDescent="0.3">
      <c r="A27" s="34" t="s">
        <v>886</v>
      </c>
      <c r="B27" s="34" t="s">
        <v>887</v>
      </c>
      <c r="C27" s="34" t="s">
        <v>888</v>
      </c>
      <c r="D27" s="34" t="s">
        <v>889</v>
      </c>
      <c r="E27" s="34" t="s">
        <v>890</v>
      </c>
      <c r="F27" s="34" t="s">
        <v>891</v>
      </c>
      <c r="G27" s="34" t="s">
        <v>502</v>
      </c>
      <c r="H27" s="34" t="s">
        <v>892</v>
      </c>
    </row>
    <row r="28" spans="1:8" ht="28.8" x14ac:dyDescent="0.3">
      <c r="A28" s="34" t="s">
        <v>893</v>
      </c>
      <c r="B28" s="34" t="s">
        <v>894</v>
      </c>
      <c r="C28" s="34" t="s">
        <v>895</v>
      </c>
      <c r="D28" s="34" t="s">
        <v>896</v>
      </c>
      <c r="E28" s="34" t="s">
        <v>897</v>
      </c>
      <c r="F28" s="34" t="s">
        <v>898</v>
      </c>
      <c r="G28" s="34" t="s">
        <v>502</v>
      </c>
      <c r="H28" s="34" t="s">
        <v>899</v>
      </c>
    </row>
    <row r="29" spans="1:8" ht="28.8" x14ac:dyDescent="0.3">
      <c r="A29" s="34" t="s">
        <v>900</v>
      </c>
      <c r="B29" s="34" t="s">
        <v>901</v>
      </c>
      <c r="C29" s="34" t="s">
        <v>902</v>
      </c>
      <c r="D29" s="34" t="s">
        <v>903</v>
      </c>
      <c r="E29" s="34" t="s">
        <v>904</v>
      </c>
      <c r="F29" s="34" t="s">
        <v>905</v>
      </c>
      <c r="G29" s="34" t="s">
        <v>502</v>
      </c>
      <c r="H29" s="34" t="s">
        <v>906</v>
      </c>
    </row>
    <row r="30" spans="1:8" ht="28.8" x14ac:dyDescent="0.3">
      <c r="A30" s="35" t="s">
        <v>907</v>
      </c>
      <c r="B30" s="35" t="s">
        <v>908</v>
      </c>
      <c r="C30" s="35" t="s">
        <v>16</v>
      </c>
      <c r="D30" s="35" t="s">
        <v>909</v>
      </c>
      <c r="E30" s="35" t="s">
        <v>910</v>
      </c>
      <c r="F30" s="35" t="s">
        <v>601</v>
      </c>
      <c r="G30" s="35" t="s">
        <v>502</v>
      </c>
      <c r="H30" s="35" t="s">
        <v>911</v>
      </c>
    </row>
    <row r="31" spans="1:8" x14ac:dyDescent="0.3">
      <c r="A31" s="115" t="s">
        <v>2082</v>
      </c>
      <c r="B31" s="98" t="s">
        <v>2083</v>
      </c>
      <c r="C31" s="98" t="s">
        <v>2084</v>
      </c>
      <c r="D31" s="98" t="s">
        <v>2085</v>
      </c>
      <c r="E31" s="98" t="s">
        <v>2086</v>
      </c>
      <c r="F31" s="98" t="s">
        <v>551</v>
      </c>
      <c r="G31" s="98" t="s">
        <v>502</v>
      </c>
      <c r="H31" s="98" t="s">
        <v>2087</v>
      </c>
    </row>
    <row r="32" spans="1:8" x14ac:dyDescent="0.3">
      <c r="A32" s="115" t="s">
        <v>2088</v>
      </c>
      <c r="B32" s="98" t="s">
        <v>603</v>
      </c>
      <c r="C32" s="98" t="s">
        <v>2089</v>
      </c>
      <c r="D32" s="98" t="s">
        <v>2090</v>
      </c>
      <c r="E32" s="98" t="s">
        <v>2091</v>
      </c>
      <c r="F32" s="98" t="s">
        <v>601</v>
      </c>
      <c r="G32" s="98" t="s">
        <v>502</v>
      </c>
      <c r="H32" s="98" t="s">
        <v>2092</v>
      </c>
    </row>
    <row r="33" spans="1:8" x14ac:dyDescent="0.3">
      <c r="A33" s="115" t="s">
        <v>2093</v>
      </c>
      <c r="B33" s="98" t="s">
        <v>1423</v>
      </c>
      <c r="C33" s="98" t="s">
        <v>2094</v>
      </c>
      <c r="D33" s="98" t="s">
        <v>2095</v>
      </c>
      <c r="E33" s="98" t="s">
        <v>2096</v>
      </c>
      <c r="F33" s="98" t="s">
        <v>514</v>
      </c>
      <c r="G33" s="98" t="s">
        <v>502</v>
      </c>
      <c r="H33" s="98" t="s">
        <v>2097</v>
      </c>
    </row>
    <row r="34" spans="1:8" x14ac:dyDescent="0.3">
      <c r="A34" s="115" t="s">
        <v>2098</v>
      </c>
      <c r="B34" s="98" t="s">
        <v>2099</v>
      </c>
      <c r="C34" s="98" t="s">
        <v>2100</v>
      </c>
      <c r="D34" s="98" t="s">
        <v>2101</v>
      </c>
      <c r="E34" s="98" t="s">
        <v>2102</v>
      </c>
      <c r="F34" s="98" t="s">
        <v>124</v>
      </c>
      <c r="G34" s="98" t="s">
        <v>502</v>
      </c>
      <c r="H34" s="98" t="s">
        <v>2103</v>
      </c>
    </row>
    <row r="35" spans="1:8" x14ac:dyDescent="0.3">
      <c r="A35" s="115" t="s">
        <v>2104</v>
      </c>
      <c r="B35" s="98" t="s">
        <v>2105</v>
      </c>
      <c r="C35" s="98" t="s">
        <v>2106</v>
      </c>
      <c r="D35" s="98" t="s">
        <v>2107</v>
      </c>
      <c r="E35" s="98" t="s">
        <v>2108</v>
      </c>
      <c r="F35" s="98" t="s">
        <v>514</v>
      </c>
      <c r="G35" s="98" t="s">
        <v>502</v>
      </c>
      <c r="H35" s="98" t="s">
        <v>2109</v>
      </c>
    </row>
    <row r="36" spans="1:8" x14ac:dyDescent="0.3">
      <c r="A36" s="115" t="s">
        <v>2110</v>
      </c>
      <c r="B36" s="98" t="s">
        <v>2111</v>
      </c>
      <c r="C36" s="98" t="s">
        <v>2112</v>
      </c>
      <c r="D36" s="98" t="s">
        <v>2113</v>
      </c>
      <c r="E36" s="98" t="s">
        <v>2114</v>
      </c>
      <c r="F36" s="98" t="s">
        <v>514</v>
      </c>
      <c r="G36" s="98" t="s">
        <v>502</v>
      </c>
      <c r="H36" s="98" t="s">
        <v>2115</v>
      </c>
    </row>
    <row r="37" spans="1:8" x14ac:dyDescent="0.3">
      <c r="A37" s="115" t="s">
        <v>2116</v>
      </c>
      <c r="B37" s="98" t="s">
        <v>2117</v>
      </c>
      <c r="C37" s="98" t="s">
        <v>2118</v>
      </c>
      <c r="D37" s="98" t="s">
        <v>2119</v>
      </c>
      <c r="E37" s="98" t="s">
        <v>2120</v>
      </c>
      <c r="F37" s="98" t="s">
        <v>2121</v>
      </c>
      <c r="G37" s="98" t="s">
        <v>502</v>
      </c>
      <c r="H37" s="98" t="s">
        <v>2122</v>
      </c>
    </row>
    <row r="38" spans="1:8" x14ac:dyDescent="0.3">
      <c r="A38" s="115" t="s">
        <v>2123</v>
      </c>
      <c r="B38" s="98" t="s">
        <v>1409</v>
      </c>
      <c r="C38" s="98" t="s">
        <v>2124</v>
      </c>
      <c r="D38" s="98" t="s">
        <v>2125</v>
      </c>
      <c r="E38" s="98" t="s">
        <v>2126</v>
      </c>
      <c r="F38" s="98" t="s">
        <v>501</v>
      </c>
      <c r="G38" s="98" t="s">
        <v>502</v>
      </c>
      <c r="H38" s="98" t="s">
        <v>2127</v>
      </c>
    </row>
  </sheetData>
  <mergeCells count="3">
    <mergeCell ref="A1:H1"/>
    <mergeCell ref="A2:H2"/>
    <mergeCell ref="J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ED98-2677-43ED-93F1-871B734F88DE}">
  <dimension ref="A1:M46"/>
  <sheetViews>
    <sheetView workbookViewId="0">
      <pane ySplit="2" topLeftCell="A43" activePane="bottomLeft" state="frozen"/>
      <selection pane="bottomLeft" activeCell="E35" sqref="E35"/>
    </sheetView>
  </sheetViews>
  <sheetFormatPr defaultRowHeight="14.4" x14ac:dyDescent="0.3"/>
  <cols>
    <col min="1" max="1" width="16.33203125" customWidth="1"/>
    <col min="2" max="2" width="22.21875" customWidth="1"/>
    <col min="3" max="3" width="42.5546875" customWidth="1"/>
    <col min="4" max="5" width="15.21875" customWidth="1"/>
    <col min="6" max="6" width="42.5546875" customWidth="1"/>
    <col min="7" max="9" width="22.21875" customWidth="1"/>
    <col min="11" max="11" width="13.33203125" customWidth="1"/>
    <col min="12" max="12" width="22.21875" customWidth="1"/>
    <col min="13" max="13" width="31.44140625" customWidth="1"/>
  </cols>
  <sheetData>
    <row r="1" spans="1:13" ht="23.4" x14ac:dyDescent="0.3">
      <c r="A1" s="103" t="s">
        <v>622</v>
      </c>
      <c r="B1" s="103"/>
      <c r="C1" s="103"/>
      <c r="D1" s="103"/>
      <c r="E1" s="103"/>
      <c r="F1" s="103"/>
      <c r="G1" s="103"/>
      <c r="H1" s="103"/>
      <c r="I1" s="51"/>
      <c r="J1" s="15"/>
      <c r="K1" s="52" t="s">
        <v>646</v>
      </c>
      <c r="L1" s="52"/>
      <c r="M1" s="52"/>
    </row>
    <row r="2" spans="1:13" ht="36" customHeight="1" x14ac:dyDescent="0.3">
      <c r="A2" s="104" t="s">
        <v>1386</v>
      </c>
      <c r="B2" s="104"/>
      <c r="C2" s="104"/>
      <c r="D2" s="104"/>
      <c r="E2" s="104"/>
      <c r="F2" s="104"/>
      <c r="G2" s="104"/>
      <c r="H2" s="104"/>
      <c r="I2" s="17"/>
      <c r="J2" s="15"/>
      <c r="K2" s="15"/>
      <c r="L2" s="15"/>
      <c r="M2" s="15"/>
    </row>
    <row r="3" spans="1:13" x14ac:dyDescent="0.3">
      <c r="A3" s="15"/>
      <c r="B3" s="15"/>
      <c r="C3" s="15"/>
      <c r="D3" s="15"/>
      <c r="E3" s="15"/>
      <c r="F3" s="15"/>
      <c r="G3" s="15"/>
      <c r="H3" s="15"/>
      <c r="I3" s="15"/>
      <c r="J3" s="15"/>
      <c r="K3" s="16" t="s">
        <v>647</v>
      </c>
      <c r="L3" s="16" t="s">
        <v>648</v>
      </c>
      <c r="M3" s="16" t="s">
        <v>649</v>
      </c>
    </row>
    <row r="4" spans="1:13" ht="27.6" x14ac:dyDescent="0.3">
      <c r="A4" s="107" t="s">
        <v>623</v>
      </c>
      <c r="B4" s="107" t="s">
        <v>624</v>
      </c>
      <c r="C4" s="15"/>
      <c r="D4" s="15"/>
      <c r="E4" s="15"/>
      <c r="F4" s="15"/>
      <c r="G4" s="15"/>
      <c r="H4" s="15"/>
      <c r="I4" s="15"/>
      <c r="J4" s="15"/>
      <c r="K4" s="18" t="s">
        <v>650</v>
      </c>
      <c r="L4" s="18" t="s">
        <v>651</v>
      </c>
      <c r="M4" s="18" t="s">
        <v>652</v>
      </c>
    </row>
    <row r="5" spans="1:13" ht="27.6" x14ac:dyDescent="0.3">
      <c r="A5" s="105" t="s">
        <v>625</v>
      </c>
      <c r="B5" s="106">
        <f>COUNTA('Parts Master'!B5:B14)</f>
        <v>10</v>
      </c>
      <c r="C5" s="15"/>
      <c r="D5" s="15"/>
      <c r="E5" s="15"/>
      <c r="F5" s="15"/>
      <c r="G5" s="15"/>
      <c r="H5" s="15"/>
      <c r="I5" s="15"/>
      <c r="J5" s="15"/>
      <c r="K5" s="18" t="s">
        <v>653</v>
      </c>
      <c r="L5" s="18" t="s">
        <v>504</v>
      </c>
      <c r="M5" s="18" t="s">
        <v>654</v>
      </c>
    </row>
    <row r="6" spans="1:13" ht="27.6" x14ac:dyDescent="0.3">
      <c r="A6" s="105" t="s">
        <v>626</v>
      </c>
      <c r="B6" s="106">
        <f>SUM('Parts Master'!R5:R14)</f>
        <v>73</v>
      </c>
      <c r="C6" s="15"/>
      <c r="D6" s="15"/>
      <c r="E6" s="15"/>
      <c r="F6" s="15"/>
      <c r="G6" s="15"/>
      <c r="H6" s="15"/>
      <c r="I6" s="15"/>
      <c r="J6" s="15"/>
      <c r="K6" s="18" t="s">
        <v>655</v>
      </c>
      <c r="L6" s="18" t="s">
        <v>656</v>
      </c>
      <c r="M6" s="18" t="s">
        <v>657</v>
      </c>
    </row>
    <row r="7" spans="1:13" ht="27.6" x14ac:dyDescent="0.3">
      <c r="A7" s="105" t="s">
        <v>627</v>
      </c>
      <c r="B7" s="106">
        <f>COUNT('HE Stages'!C5:C306)</f>
        <v>42</v>
      </c>
      <c r="C7" s="15"/>
      <c r="D7" s="15"/>
      <c r="E7" s="15"/>
      <c r="F7" s="15"/>
      <c r="G7" s="15"/>
      <c r="H7" s="15"/>
      <c r="I7" s="15"/>
      <c r="J7" s="15"/>
      <c r="K7" s="18" t="s">
        <v>658</v>
      </c>
      <c r="L7" s="18" t="s">
        <v>603</v>
      </c>
      <c r="M7" s="18" t="s">
        <v>659</v>
      </c>
    </row>
    <row r="8" spans="1:13" ht="27.6" x14ac:dyDescent="0.3">
      <c r="A8" s="105" t="s">
        <v>628</v>
      </c>
      <c r="B8" s="106">
        <f>SUM('Parts Master'!S5:S14)</f>
        <v>0</v>
      </c>
      <c r="C8" s="15"/>
      <c r="D8" s="15"/>
      <c r="E8" s="15"/>
      <c r="F8" s="15"/>
      <c r="G8" s="15"/>
      <c r="H8" s="15"/>
      <c r="I8" s="15"/>
      <c r="J8" s="15"/>
      <c r="K8" s="18" t="s">
        <v>660</v>
      </c>
      <c r="L8" s="18" t="s">
        <v>661</v>
      </c>
      <c r="M8" s="18" t="s">
        <v>662</v>
      </c>
    </row>
    <row r="9" spans="1:13" ht="27.6" x14ac:dyDescent="0.3">
      <c r="A9" s="105" t="s">
        <v>629</v>
      </c>
      <c r="B9" s="106" cm="1">
        <f t="array" ref="B9">SUMPRODUCT(--ISNUMBER(MATCH('Part Routes'!B5:B336,'Parts Master'!B5:B14,0)),--('Part Routes'!K5:K336=""))</f>
        <v>0</v>
      </c>
      <c r="C9" s="15"/>
      <c r="D9" s="15"/>
      <c r="E9" s="15"/>
      <c r="F9" s="15"/>
      <c r="G9" s="15"/>
      <c r="H9" s="15"/>
      <c r="I9" s="15"/>
      <c r="J9" s="15"/>
      <c r="K9" s="18" t="s">
        <v>663</v>
      </c>
      <c r="L9" s="18" t="s">
        <v>664</v>
      </c>
      <c r="M9" s="18" t="s">
        <v>665</v>
      </c>
    </row>
    <row r="10" spans="1:13" ht="18" x14ac:dyDescent="0.3">
      <c r="A10" s="105" t="s">
        <v>630</v>
      </c>
      <c r="B10" s="106">
        <f>COUNTIF('Review Actions'!G5:G30,"Open")</f>
        <v>26</v>
      </c>
      <c r="C10" s="15"/>
      <c r="D10" s="15"/>
      <c r="E10" s="15"/>
      <c r="F10" s="15"/>
      <c r="G10" s="15"/>
      <c r="H10" s="15"/>
      <c r="I10" s="15"/>
      <c r="J10" s="15"/>
      <c r="K10" s="15"/>
      <c r="L10" s="15"/>
      <c r="M10" s="15"/>
    </row>
    <row r="11" spans="1:13" ht="18" x14ac:dyDescent="0.3">
      <c r="A11" s="105" t="s">
        <v>631</v>
      </c>
      <c r="B11" s="106">
        <f>COUNTIF('Parts Master'!P5:P14,"Approved by Production Head")</f>
        <v>0</v>
      </c>
      <c r="C11" s="15"/>
      <c r="D11" s="15"/>
      <c r="E11" s="15"/>
      <c r="F11" s="15"/>
      <c r="G11" s="15"/>
      <c r="H11" s="15"/>
      <c r="I11" s="15"/>
      <c r="J11" s="15"/>
      <c r="K11" s="15"/>
      <c r="L11" s="15"/>
      <c r="M11" s="15"/>
    </row>
    <row r="12" spans="1:13" ht="18" x14ac:dyDescent="0.3">
      <c r="A12" s="105" t="s">
        <v>632</v>
      </c>
      <c r="B12" s="108" t="s">
        <v>1387</v>
      </c>
      <c r="C12" s="15"/>
      <c r="D12" s="15"/>
      <c r="E12" s="15"/>
      <c r="F12" s="15"/>
      <c r="G12" s="15"/>
      <c r="H12" s="15"/>
      <c r="I12" s="15"/>
      <c r="J12" s="15"/>
      <c r="K12" s="16" t="s">
        <v>666</v>
      </c>
      <c r="L12" s="16" t="s">
        <v>667</v>
      </c>
      <c r="M12" s="16" t="s">
        <v>668</v>
      </c>
    </row>
    <row r="13" spans="1:13" x14ac:dyDescent="0.3">
      <c r="A13" s="15"/>
      <c r="B13" s="15"/>
      <c r="C13" s="15"/>
      <c r="D13" s="15"/>
      <c r="E13" s="15"/>
      <c r="F13" s="15"/>
      <c r="G13" s="15"/>
      <c r="H13" s="15"/>
      <c r="I13" s="15"/>
      <c r="J13" s="15"/>
      <c r="K13" s="15" t="s">
        <v>2</v>
      </c>
      <c r="L13" s="20"/>
      <c r="M13" s="20"/>
    </row>
    <row r="14" spans="1:13" x14ac:dyDescent="0.3">
      <c r="A14" s="16" t="s">
        <v>633</v>
      </c>
      <c r="B14" s="16" t="s">
        <v>634</v>
      </c>
      <c r="C14" s="16" t="s">
        <v>635</v>
      </c>
      <c r="D14" s="16" t="s">
        <v>636</v>
      </c>
      <c r="E14" s="16" t="s">
        <v>637</v>
      </c>
      <c r="F14" s="16" t="s">
        <v>638</v>
      </c>
      <c r="G14" s="16" t="s">
        <v>639</v>
      </c>
      <c r="H14" s="16" t="s">
        <v>640</v>
      </c>
      <c r="I14" s="16" t="s">
        <v>641</v>
      </c>
      <c r="J14" s="15"/>
      <c r="K14" s="15" t="s">
        <v>501</v>
      </c>
      <c r="L14" s="20"/>
      <c r="M14" s="20"/>
    </row>
    <row r="15" spans="1:13" ht="27.6" x14ac:dyDescent="0.3">
      <c r="A15" s="20" t="str">
        <f>'Parts Master'!B5</f>
        <v>SHL-01</v>
      </c>
      <c r="B15" s="20" t="str">
        <f>'Parts Master'!C5</f>
        <v>Shell Course</v>
      </c>
      <c r="C15" s="109" t="str">
        <f>'Parts Master'!D5</f>
        <v>PV + HE</v>
      </c>
      <c r="D15" s="109">
        <f>'Parts Master'!R5</f>
        <v>9</v>
      </c>
      <c r="E15" s="109">
        <f>'Parts Master'!S5</f>
        <v>0</v>
      </c>
      <c r="F15" s="109">
        <f>COUNTIFS('Part Routes'!B$5:B$336,A15,'Part Routes'!K$5:K$336,"")</f>
        <v>0</v>
      </c>
      <c r="G15" s="22" t="str">
        <f>'Parts Master'!M5</f>
        <v>Assumed – to be confirmed</v>
      </c>
      <c r="H15" s="22" t="str">
        <f>'Parts Master'!P5</f>
        <v>Draft</v>
      </c>
      <c r="I15" s="18" t="str">
        <f t="shared" ref="I15:I24" si="0">IF(H15="Approved by Production Head",IF(AND(E15=0,F15=0),"READY","HOLD — INCOMPLETE"),"HOLD — APPROVAL")</f>
        <v>HOLD — APPROVAL</v>
      </c>
      <c r="J15" s="15"/>
      <c r="K15" s="15" t="s">
        <v>669</v>
      </c>
      <c r="L15" s="20"/>
      <c r="M15" s="20"/>
    </row>
    <row r="16" spans="1:13" ht="27.6" x14ac:dyDescent="0.3">
      <c r="A16" s="20" t="str">
        <f>'Parts Master'!B6</f>
        <v>HED-01</v>
      </c>
      <c r="B16" s="20" t="str">
        <f>'Parts Master'!C6</f>
        <v>Dished End</v>
      </c>
      <c r="C16" s="109" t="str">
        <f>'Parts Master'!D6</f>
        <v>PV + HE</v>
      </c>
      <c r="D16" s="109">
        <f>'Parts Master'!R6</f>
        <v>16</v>
      </c>
      <c r="E16" s="109">
        <f>'Parts Master'!S6</f>
        <v>0</v>
      </c>
      <c r="F16" s="109">
        <f>COUNTIFS('Part Routes'!B$5:B$336,A16,'Part Routes'!K$5:K$336,"")</f>
        <v>0</v>
      </c>
      <c r="G16" s="22" t="str">
        <f>'Parts Master'!M6</f>
        <v>Assumed – to be confirmed</v>
      </c>
      <c r="H16" s="22" t="str">
        <f>'Parts Master'!P6</f>
        <v>Draft</v>
      </c>
      <c r="I16" s="18" t="str">
        <f t="shared" si="0"/>
        <v>HOLD — APPROVAL</v>
      </c>
      <c r="J16" s="15"/>
      <c r="K16" s="15" t="s">
        <v>670</v>
      </c>
      <c r="L16" s="20"/>
      <c r="M16" s="20"/>
    </row>
    <row r="17" spans="1:13" ht="27.6" x14ac:dyDescent="0.3">
      <c r="A17" s="20" t="str">
        <f>'Parts Master'!B7</f>
        <v>NOZ-01</v>
      </c>
      <c r="B17" s="20" t="str">
        <f>'Parts Master'!C7</f>
        <v>Nozzle Neck</v>
      </c>
      <c r="C17" s="109" t="str">
        <f>'Parts Master'!D7</f>
        <v>PV + HE</v>
      </c>
      <c r="D17" s="109">
        <f>'Parts Master'!R7</f>
        <v>9</v>
      </c>
      <c r="E17" s="109">
        <f>'Parts Master'!S7</f>
        <v>0</v>
      </c>
      <c r="F17" s="109">
        <f>COUNTIFS('Part Routes'!B$5:B$336,A17,'Part Routes'!K$5:K$336,"")</f>
        <v>0</v>
      </c>
      <c r="G17" s="22" t="str">
        <f>'Parts Master'!M7</f>
        <v>Assumed – to be confirmed</v>
      </c>
      <c r="H17" s="22" t="str">
        <f>'Parts Master'!P7</f>
        <v>Draft</v>
      </c>
      <c r="I17" s="18" t="str">
        <f t="shared" si="0"/>
        <v>HOLD — APPROVAL</v>
      </c>
      <c r="J17" s="15"/>
      <c r="K17" s="15"/>
      <c r="L17" s="15"/>
      <c r="M17" s="15"/>
    </row>
    <row r="18" spans="1:13" ht="27.6" x14ac:dyDescent="0.3">
      <c r="A18" s="20" t="str">
        <f>'Parts Master'!B8</f>
        <v>FLG-01</v>
      </c>
      <c r="B18" s="20" t="str">
        <f>'Parts Master'!C8</f>
        <v>Nozzle Flange</v>
      </c>
      <c r="C18" s="109" t="str">
        <f>'Parts Master'!D8</f>
        <v>PV + HE</v>
      </c>
      <c r="D18" s="109">
        <f>'Parts Master'!R8</f>
        <v>5</v>
      </c>
      <c r="E18" s="109">
        <f>'Parts Master'!S8</f>
        <v>0</v>
      </c>
      <c r="F18" s="109">
        <f>COUNTIFS('Part Routes'!B$5:B$336,A18,'Part Routes'!K$5:K$336,"")</f>
        <v>0</v>
      </c>
      <c r="G18" s="22" t="str">
        <f>'Parts Master'!M8</f>
        <v>Assumed – to be confirmed</v>
      </c>
      <c r="H18" s="22" t="str">
        <f>'Parts Master'!P8</f>
        <v>Draft</v>
      </c>
      <c r="I18" s="18" t="str">
        <f t="shared" si="0"/>
        <v>HOLD — APPROVAL</v>
      </c>
      <c r="J18" s="15"/>
      <c r="K18" s="53" t="s">
        <v>671</v>
      </c>
      <c r="L18" s="53"/>
      <c r="M18" s="53"/>
    </row>
    <row r="19" spans="1:13" ht="27.6" x14ac:dyDescent="0.3">
      <c r="A19" s="20" t="str">
        <f>'Parts Master'!B9</f>
        <v>TSH-01</v>
      </c>
      <c r="B19" s="20" t="str">
        <f>'Parts Master'!C9</f>
        <v>Tube Sheet</v>
      </c>
      <c r="C19" s="109" t="str">
        <f>'Parts Master'!D9</f>
        <v>HE</v>
      </c>
      <c r="D19" s="109">
        <f>'Parts Master'!R9</f>
        <v>7</v>
      </c>
      <c r="E19" s="109">
        <f>'Parts Master'!S9</f>
        <v>0</v>
      </c>
      <c r="F19" s="109">
        <f>COUNTIFS('Part Routes'!B$5:B$336,A19,'Part Routes'!K$5:K$336,"")</f>
        <v>0</v>
      </c>
      <c r="G19" s="22" t="str">
        <f>'Parts Master'!M9</f>
        <v>Assumed – to be confirmed</v>
      </c>
      <c r="H19" s="22" t="str">
        <f>'Parts Master'!P9</f>
        <v>Draft</v>
      </c>
      <c r="I19" s="18" t="str">
        <f t="shared" si="0"/>
        <v>HOLD — APPROVAL</v>
      </c>
      <c r="J19" s="15"/>
      <c r="K19" s="15"/>
      <c r="L19" s="15"/>
      <c r="M19" s="15"/>
    </row>
    <row r="20" spans="1:13" ht="27.6" x14ac:dyDescent="0.3">
      <c r="A20" s="20" t="str">
        <f>'Parts Master'!B10</f>
        <v>TUB-01</v>
      </c>
      <c r="B20" s="20" t="str">
        <f>'Parts Master'!C10</f>
        <v>Tube</v>
      </c>
      <c r="C20" s="109" t="str">
        <f>'Parts Master'!D10</f>
        <v>HE</v>
      </c>
      <c r="D20" s="109">
        <f>'Parts Master'!R10</f>
        <v>5</v>
      </c>
      <c r="E20" s="109">
        <f>'Parts Master'!S10</f>
        <v>0</v>
      </c>
      <c r="F20" s="109">
        <f>COUNTIFS('Part Routes'!B$5:B$336,A20,'Part Routes'!K$5:K$336,"")</f>
        <v>0</v>
      </c>
      <c r="G20" s="22" t="str">
        <f>'Parts Master'!M10</f>
        <v>Assumed – to be confirmed</v>
      </c>
      <c r="H20" s="22" t="str">
        <f>'Parts Master'!P10</f>
        <v>Draft</v>
      </c>
      <c r="I20" s="18" t="str">
        <f t="shared" si="0"/>
        <v>HOLD — APPROVAL</v>
      </c>
      <c r="J20" s="15"/>
      <c r="K20" s="15"/>
      <c r="L20" s="15"/>
      <c r="M20" s="15"/>
    </row>
    <row r="21" spans="1:13" ht="27.6" x14ac:dyDescent="0.3">
      <c r="A21" s="20" t="str">
        <f>'Parts Master'!B11</f>
        <v>BAF-01</v>
      </c>
      <c r="B21" s="20" t="str">
        <f>'Parts Master'!C11</f>
        <v>Baffle</v>
      </c>
      <c r="C21" s="109" t="str">
        <f>'Parts Master'!D11</f>
        <v>HE</v>
      </c>
      <c r="D21" s="109">
        <f>'Parts Master'!R11</f>
        <v>6</v>
      </c>
      <c r="E21" s="109">
        <f>'Parts Master'!S11</f>
        <v>0</v>
      </c>
      <c r="F21" s="109">
        <f>COUNTIFS('Part Routes'!B$5:B$336,A21,'Part Routes'!K$5:K$336,"")</f>
        <v>0</v>
      </c>
      <c r="G21" s="22" t="str">
        <f>'Parts Master'!M11</f>
        <v>Assumed – to be confirmed</v>
      </c>
      <c r="H21" s="22" t="str">
        <f>'Parts Master'!P11</f>
        <v>Draft</v>
      </c>
      <c r="I21" s="18" t="str">
        <f t="shared" si="0"/>
        <v>HOLD — APPROVAL</v>
      </c>
      <c r="J21" s="15"/>
      <c r="K21" s="15"/>
      <c r="L21" s="15"/>
      <c r="M21" s="15"/>
    </row>
    <row r="22" spans="1:13" ht="27.6" x14ac:dyDescent="0.3">
      <c r="A22" s="20" t="str">
        <f>'Parts Master'!B12</f>
        <v>SAD-01</v>
      </c>
      <c r="B22" s="20" t="str">
        <f>'Parts Master'!C12</f>
        <v>Saddle</v>
      </c>
      <c r="C22" s="109" t="str">
        <f>'Parts Master'!D12</f>
        <v>PV + HE</v>
      </c>
      <c r="D22" s="109">
        <f>'Parts Master'!R12</f>
        <v>10</v>
      </c>
      <c r="E22" s="109">
        <f>'Parts Master'!S12</f>
        <v>0</v>
      </c>
      <c r="F22" s="109">
        <f>COUNTIFS('Part Routes'!B$5:B$336,A22,'Part Routes'!K$5:K$336,"")</f>
        <v>0</v>
      </c>
      <c r="G22" s="22" t="str">
        <f>'Parts Master'!M12</f>
        <v>Assumed – to be confirmed</v>
      </c>
      <c r="H22" s="22" t="str">
        <f>'Parts Master'!P12</f>
        <v>Draft</v>
      </c>
      <c r="I22" s="18" t="str">
        <f t="shared" si="0"/>
        <v>HOLD — APPROVAL</v>
      </c>
      <c r="J22" s="15"/>
      <c r="K22" s="15"/>
      <c r="L22" s="15"/>
      <c r="M22" s="15"/>
    </row>
    <row r="23" spans="1:13" ht="27.6" x14ac:dyDescent="0.3">
      <c r="A23" s="20" t="str">
        <f>'Parts Master'!B13</f>
        <v>STD-01</v>
      </c>
      <c r="B23" s="20" t="str">
        <f>'Parts Master'!C13</f>
        <v>Stud with Two Nuts</v>
      </c>
      <c r="C23" s="109" t="str">
        <f>'Parts Master'!D13</f>
        <v>PV + HE</v>
      </c>
      <c r="D23" s="109">
        <f>'Parts Master'!R13</f>
        <v>3</v>
      </c>
      <c r="E23" s="109">
        <f>'Parts Master'!S13</f>
        <v>0</v>
      </c>
      <c r="F23" s="109">
        <f>COUNTIFS('Part Routes'!B$5:B$336,A23,'Part Routes'!K$5:K$336,"")</f>
        <v>0</v>
      </c>
      <c r="G23" s="22" t="str">
        <f>'Parts Master'!M13</f>
        <v>Assumed – to be confirmed</v>
      </c>
      <c r="H23" s="22" t="str">
        <f>'Parts Master'!P13</f>
        <v>Draft</v>
      </c>
      <c r="I23" s="18" t="str">
        <f t="shared" si="0"/>
        <v>HOLD — APPROVAL</v>
      </c>
      <c r="J23" s="15"/>
      <c r="K23" s="15"/>
      <c r="L23" s="15"/>
      <c r="M23" s="15"/>
    </row>
    <row r="24" spans="1:13" ht="27.6" x14ac:dyDescent="0.3">
      <c r="A24" s="110" t="str">
        <f>'Parts Master'!B14</f>
        <v>GAS-01</v>
      </c>
      <c r="B24" s="110" t="str">
        <f>'Parts Master'!C14</f>
        <v>Gasket</v>
      </c>
      <c r="C24" s="111" t="str">
        <f>'Parts Master'!D14</f>
        <v>PV + HE</v>
      </c>
      <c r="D24" s="111">
        <f>'Parts Master'!R14</f>
        <v>3</v>
      </c>
      <c r="E24" s="111">
        <f>'Parts Master'!S14</f>
        <v>0</v>
      </c>
      <c r="F24" s="111">
        <f>COUNTIFS('Part Routes'!B$5:B$336,A24,'Part Routes'!K$5:K$336,"")</f>
        <v>0</v>
      </c>
      <c r="G24" s="112" t="str">
        <f>'Parts Master'!M14</f>
        <v>Assumed – to be confirmed</v>
      </c>
      <c r="H24" s="112" t="str">
        <f>'Parts Master'!P14</f>
        <v>Draft</v>
      </c>
      <c r="I24" s="21" t="str">
        <f t="shared" si="0"/>
        <v>HOLD — APPROVAL</v>
      </c>
      <c r="J24" s="15"/>
      <c r="K24" s="15"/>
      <c r="L24" s="15"/>
      <c r="M24" s="15"/>
    </row>
    <row r="25" spans="1:13" x14ac:dyDescent="0.3">
      <c r="A25" s="15"/>
      <c r="B25" s="15"/>
      <c r="C25" s="15"/>
      <c r="D25" s="15"/>
      <c r="E25" s="15"/>
      <c r="F25" s="15"/>
      <c r="G25" s="15"/>
      <c r="H25" s="15"/>
      <c r="I25" s="15"/>
      <c r="J25" s="15"/>
      <c r="K25" s="15"/>
      <c r="L25" s="15"/>
      <c r="M25" s="15"/>
    </row>
    <row r="26" spans="1:13" x14ac:dyDescent="0.3">
      <c r="A26" s="15"/>
      <c r="B26" s="15"/>
      <c r="C26" s="15"/>
      <c r="D26" s="15"/>
      <c r="E26" s="15"/>
      <c r="F26" s="15"/>
      <c r="G26" s="15"/>
      <c r="H26" s="15"/>
      <c r="I26" s="15"/>
      <c r="J26" s="15"/>
      <c r="K26" s="15"/>
      <c r="L26" s="15"/>
      <c r="M26" s="15"/>
    </row>
    <row r="27" spans="1:13" x14ac:dyDescent="0.3">
      <c r="A27" s="16" t="s">
        <v>489</v>
      </c>
      <c r="B27" s="16" t="s">
        <v>642</v>
      </c>
      <c r="C27" s="16" t="s">
        <v>643</v>
      </c>
      <c r="D27" s="16" t="s">
        <v>644</v>
      </c>
      <c r="E27" s="16" t="s">
        <v>640</v>
      </c>
      <c r="F27" s="16" t="s">
        <v>645</v>
      </c>
      <c r="G27" s="15"/>
      <c r="H27" s="15"/>
      <c r="I27" s="15"/>
      <c r="J27" s="15"/>
      <c r="K27" s="15"/>
      <c r="L27" s="15"/>
      <c r="M27" s="15"/>
    </row>
    <row r="28" spans="1:13" ht="27.6" x14ac:dyDescent="0.3">
      <c r="A28" s="18" t="str">
        <f>'Review Actions'!A5</f>
        <v>Q-01</v>
      </c>
      <c r="B28" s="18" t="str">
        <f>'Review Actions'!B5</f>
        <v>Routing authority</v>
      </c>
      <c r="C28" s="18" t="str">
        <f>'Review Actions'!D5</f>
        <v>Which source governs PV and HE routes? Flange, dished-end and tubesheet routes conflict.</v>
      </c>
      <c r="D28" s="18" t="str">
        <f>'Review Actions'!F5</f>
        <v>Production Head</v>
      </c>
      <c r="E28" s="22" t="str">
        <f>'Review Actions'!G5</f>
        <v>Open</v>
      </c>
      <c r="F28" s="18" t="str">
        <f>'Review Actions'!E5</f>
        <v>Production Head to nominate controlling document and approve each pilot route.</v>
      </c>
      <c r="G28" s="15"/>
      <c r="H28" s="15"/>
      <c r="I28" s="15"/>
      <c r="J28" s="15"/>
      <c r="K28" s="15"/>
      <c r="L28" s="15"/>
      <c r="M28" s="15"/>
    </row>
    <row r="29" spans="1:13" ht="41.4" x14ac:dyDescent="0.3">
      <c r="A29" s="18" t="str">
        <f>'Review Actions'!A6</f>
        <v>Q-02</v>
      </c>
      <c r="B29" s="18" t="str">
        <f>'Review Actions'!B6</f>
        <v>HE scope</v>
      </c>
      <c r="C29" s="18" t="str">
        <f>'Review Actions'!D6</f>
        <v>Which HE types are actually manufactured: fixed tubesheet, U-tube, floating head, Twin Oil Cooler or others?</v>
      </c>
      <c r="D29" s="18" t="str">
        <f>'Review Actions'!F6</f>
        <v>Production Head / Engineering</v>
      </c>
      <c r="E29" s="22" t="str">
        <f>'Review Actions'!G6</f>
        <v>Open</v>
      </c>
      <c r="F29" s="18" t="str">
        <f>'Review Actions'!E6</f>
        <v>Approve the HE type list before HE Stages are created.</v>
      </c>
      <c r="G29" s="15"/>
      <c r="H29" s="15"/>
      <c r="I29" s="15"/>
      <c r="J29" s="15"/>
      <c r="K29" s="15"/>
      <c r="L29" s="15"/>
      <c r="M29" s="15"/>
    </row>
    <row r="30" spans="1:13" ht="27.6" x14ac:dyDescent="0.3">
      <c r="A30" s="18" t="str">
        <f>'Review Actions'!A7</f>
        <v>Q-03</v>
      </c>
      <c r="B30" s="18" t="str">
        <f>'Review Actions'!B7</f>
        <v>Tube joint</v>
      </c>
      <c r="C30" s="18" t="str">
        <f>'Review Actions'!D7</f>
        <v>Expansion only or expansion plus seal welding? Which mock-up, pull-out and leak tests apply?</v>
      </c>
      <c r="D30" s="18" t="str">
        <f>'Review Actions'!F7</f>
        <v>Production Head / QC</v>
      </c>
      <c r="E30" s="22" t="str">
        <f>'Review Actions'!G7</f>
        <v>Open</v>
      </c>
      <c r="F30" s="18" t="str">
        <f>'Review Actions'!E7</f>
        <v>Approve joint variants and acceptance records.</v>
      </c>
      <c r="G30" s="15"/>
      <c r="H30" s="15"/>
      <c r="I30" s="15"/>
      <c r="J30" s="15"/>
      <c r="K30" s="15"/>
      <c r="L30" s="15"/>
      <c r="M30" s="15"/>
    </row>
    <row r="31" spans="1:13" ht="27.6" x14ac:dyDescent="0.3">
      <c r="A31" s="18" t="str">
        <f>'Review Actions'!A8</f>
        <v>Q-04</v>
      </c>
      <c r="B31" s="18" t="str">
        <f>'Review Actions'!B8</f>
        <v>Aluminium bronze</v>
      </c>
      <c r="C31" s="18" t="str">
        <f>'Review Actions'!D8</f>
        <v>Are AL.BR.W.D lines overlay/cladding or separate parts?</v>
      </c>
      <c r="D31" s="18" t="str">
        <f>'Review Actions'!F8</f>
        <v>Engineering / Production Head</v>
      </c>
      <c r="E31" s="22" t="str">
        <f>'Review Actions'!G8</f>
        <v>Open</v>
      </c>
      <c r="F31" s="18" t="str">
        <f>'Review Actions'!E8</f>
        <v>Confirm BOM representation and weight treatment.</v>
      </c>
      <c r="G31" s="15"/>
      <c r="H31" s="15"/>
      <c r="I31" s="15"/>
      <c r="J31" s="15"/>
      <c r="K31" s="15"/>
      <c r="L31" s="15"/>
      <c r="M31" s="15"/>
    </row>
    <row r="32" spans="1:13" ht="27.6" x14ac:dyDescent="0.3">
      <c r="A32" s="18" t="str">
        <f>'Review Actions'!A9</f>
        <v>Q-05</v>
      </c>
      <c r="B32" s="18" t="str">
        <f>'Review Actions'!B9</f>
        <v>PWHT scope</v>
      </c>
      <c r="C32" s="18" t="str">
        <f>'Review Actions'!D9</f>
        <v>Is PWHT done on individual parts, the complete equipment, or both?</v>
      </c>
      <c r="D32" s="18" t="str">
        <f>'Review Actions'!F9</f>
        <v>Production Head / QC</v>
      </c>
      <c r="E32" s="22" t="str">
        <f>'Review Actions'!G9</f>
        <v>Open</v>
      </c>
      <c r="F32" s="18" t="str">
        <f>'Review Actions'!E9</f>
        <v>Define route condition and equipment stage mapping.</v>
      </c>
      <c r="G32" s="15"/>
      <c r="H32" s="15"/>
      <c r="I32" s="15"/>
      <c r="J32" s="15"/>
      <c r="K32" s="15"/>
      <c r="L32" s="15"/>
      <c r="M32" s="15"/>
    </row>
    <row r="33" spans="1:13" ht="27.6" x14ac:dyDescent="0.3">
      <c r="A33" s="18" t="str">
        <f>'Review Actions'!A10</f>
        <v>Q-06</v>
      </c>
      <c r="B33" s="18" t="str">
        <f>'Review Actions'!B10</f>
        <v>Live jobs</v>
      </c>
      <c r="C33" s="18" t="str">
        <f>'Review Actions'!D10</f>
        <v>Are these live jobs for tracker entry or historical source BOMs only?</v>
      </c>
      <c r="D33" s="18" t="str">
        <f>'Review Actions'!F10</f>
        <v>Projects / PMO</v>
      </c>
      <c r="E33" s="22" t="str">
        <f>'Review Actions'!G10</f>
        <v>Open</v>
      </c>
      <c r="F33" s="18" t="str">
        <f>'Review Actions'!E10</f>
        <v>Confirm job status before importing job-specific quantities.</v>
      </c>
      <c r="G33" s="15"/>
      <c r="H33" s="15"/>
      <c r="I33" s="15"/>
      <c r="J33" s="15"/>
      <c r="K33" s="15"/>
      <c r="L33" s="15"/>
      <c r="M33" s="15"/>
    </row>
    <row r="34" spans="1:13" ht="27.6" x14ac:dyDescent="0.3">
      <c r="A34" s="18" t="str">
        <f>'Review Actions'!A11</f>
        <v>Q-07</v>
      </c>
      <c r="B34" s="18" t="str">
        <f>'Review Actions'!B11</f>
        <v>PV reference</v>
      </c>
      <c r="C34" s="18" t="str">
        <f>'Review Actions'!D11</f>
        <v>Should this BOM or DESPL-320 be the governing PV reference?</v>
      </c>
      <c r="D34" s="18" t="str">
        <f>'Review Actions'!F11</f>
        <v>Production Head / Engineering</v>
      </c>
      <c r="E34" s="22" t="str">
        <f>'Review Actions'!G11</f>
        <v>Open</v>
      </c>
      <c r="F34" s="18" t="str">
        <f>'Review Actions'!E11</f>
        <v>Name one controlled PV baseline.</v>
      </c>
      <c r="G34" s="15"/>
      <c r="H34" s="15"/>
      <c r="I34" s="15"/>
      <c r="J34" s="15"/>
      <c r="K34" s="15"/>
      <c r="L34" s="15"/>
      <c r="M34" s="15"/>
    </row>
    <row r="35" spans="1:13" ht="27.6" x14ac:dyDescent="0.3">
      <c r="A35" s="18" t="str">
        <f>'Review Actions'!A12</f>
        <v>Q-08</v>
      </c>
      <c r="B35" s="18" t="str">
        <f>'Review Actions'!B12</f>
        <v>TOC source</v>
      </c>
      <c r="C35" s="18" t="str">
        <f>'Review Actions'!D12</f>
        <v>Which overlapping Twin Oil Cooler sheet is authoritative?</v>
      </c>
      <c r="D35" s="18" t="str">
        <f>'Review Actions'!F12</f>
        <v>Production Head / Engineering</v>
      </c>
      <c r="E35" s="22" t="str">
        <f>'Review Actions'!G12</f>
        <v>Open</v>
      </c>
      <c r="F35" s="18" t="str">
        <f>'Review Actions'!E12</f>
        <v>Retain one controlled BOM and archive/identify the derivative extract.</v>
      </c>
      <c r="G35" s="15"/>
      <c r="H35" s="15"/>
      <c r="I35" s="15"/>
      <c r="J35" s="15"/>
      <c r="K35" s="15"/>
      <c r="L35" s="15"/>
      <c r="M35" s="15"/>
    </row>
    <row r="36" spans="1:13" ht="41.4" x14ac:dyDescent="0.3">
      <c r="A36" s="18" t="str">
        <f>'Review Actions'!A13</f>
        <v>C-01</v>
      </c>
      <c r="B36" s="18" t="str">
        <f>'Review Actions'!B13</f>
        <v>Weight formula</v>
      </c>
      <c r="C36" s="18" t="str">
        <f>'Review Actions'!D13</f>
        <v>Shell Cover Barrel is calculated as a solid cylinder: 170.34 kg.</v>
      </c>
      <c r="D36" s="18" t="str">
        <f>'Review Actions'!F13</f>
        <v>Engineering</v>
      </c>
      <c r="E36" s="22" t="str">
        <f>'Review Actions'!G13</f>
        <v>Open</v>
      </c>
      <c r="F36" s="18" t="str">
        <f>'Review Actions'!E13</f>
        <v>Use hollow-cylinder formula; at ID 356, t 10, L 218 and 7.85 g/cm³, calculated weight is about 19.86 kg.</v>
      </c>
      <c r="G36" s="15"/>
      <c r="H36" s="15"/>
      <c r="I36" s="15"/>
      <c r="J36" s="15"/>
      <c r="K36" s="15"/>
      <c r="L36" s="15"/>
      <c r="M36" s="15"/>
    </row>
    <row r="37" spans="1:13" ht="27.6" x14ac:dyDescent="0.3">
      <c r="A37" s="18" t="str">
        <f>'Review Actions'!A14</f>
        <v>C-02</v>
      </c>
      <c r="B37" s="18" t="str">
        <f>'Review Actions'!B14</f>
        <v>Double count</v>
      </c>
      <c r="C37" s="18" t="str">
        <f>'Review Actions'!D14</f>
        <v>Saddle and davit assemblies have lump weights and child parts are listed again.</v>
      </c>
      <c r="D37" s="18" t="str">
        <f>'Review Actions'!F14</f>
        <v>Engineering</v>
      </c>
      <c r="E37" s="22" t="str">
        <f>'Review Actions'!G14</f>
        <v>Open</v>
      </c>
      <c r="F37" s="18" t="str">
        <f>'Review Actions'!E14</f>
        <v>Set parent assemblies to Sum of child parts and count weight once.</v>
      </c>
      <c r="G37" s="15"/>
      <c r="H37" s="15"/>
      <c r="I37" s="15"/>
      <c r="J37" s="15"/>
      <c r="K37" s="15"/>
      <c r="L37" s="15"/>
      <c r="M37" s="15"/>
    </row>
    <row r="38" spans="1:13" ht="27.6" x14ac:dyDescent="0.3">
      <c r="A38" s="18" t="str">
        <f>'Review Actions'!A15</f>
        <v>C-03</v>
      </c>
      <c r="B38" s="18" t="str">
        <f>'Review Actions'!B15</f>
        <v>Item numbering</v>
      </c>
      <c r="C38" s="18" t="str">
        <f>'Review Actions'!D15</f>
        <v>Item numbers 8, 32, 33, 117 and 125 repeat; 14A is non-numeric.</v>
      </c>
      <c r="D38" s="18" t="str">
        <f>'Review Actions'!F15</f>
        <v>Engineering</v>
      </c>
      <c r="E38" s="22" t="str">
        <f>'Review Actions'!G15</f>
        <v>Open</v>
      </c>
      <c r="F38" s="18" t="str">
        <f>'Review Actions'!E15</f>
        <v>Renumber every BOM line uniquely and update drawing references.</v>
      </c>
      <c r="G38" s="15"/>
      <c r="H38" s="15"/>
      <c r="I38" s="15"/>
      <c r="J38" s="15"/>
      <c r="K38" s="15"/>
      <c r="L38" s="15"/>
      <c r="M38" s="15"/>
    </row>
    <row r="39" spans="1:13" ht="27.6" x14ac:dyDescent="0.3">
      <c r="A39" s="18" t="str">
        <f>'Review Actions'!A16</f>
        <v>C-04</v>
      </c>
      <c r="B39" s="18" t="str">
        <f>'Review Actions'!B16</f>
        <v>Thickness conflict</v>
      </c>
      <c r="C39" s="18" t="str">
        <f>'Review Actions'!D16</f>
        <v>Description says 10 THK while thickness field says 5 or 6.</v>
      </c>
      <c r="D39" s="18" t="str">
        <f>'Review Actions'!F16</f>
        <v>Engineering / QC</v>
      </c>
      <c r="E39" s="22" t="str">
        <f>'Review Actions'!G16</f>
        <v>Open</v>
      </c>
      <c r="F39" s="18" t="str">
        <f>'Review Actions'!E16</f>
        <v>Confirm drawing thickness and correct both description and numeric field.</v>
      </c>
      <c r="G39" s="15"/>
      <c r="H39" s="15"/>
      <c r="I39" s="15"/>
      <c r="J39" s="15"/>
      <c r="K39" s="15"/>
      <c r="L39" s="15"/>
      <c r="M39" s="15"/>
    </row>
    <row r="40" spans="1:13" ht="27.6" x14ac:dyDescent="0.3">
      <c r="A40" s="18" t="str">
        <f>'Review Actions'!A17</f>
        <v>C-05</v>
      </c>
      <c r="B40" s="18" t="str">
        <f>'Review Actions'!B17</f>
        <v>Length error</v>
      </c>
      <c r="C40" s="18" t="str">
        <f>'Review Actions'!D17</f>
        <v>Length entered as 10 and 30 instead of 100 and 300.</v>
      </c>
      <c r="D40" s="18" t="str">
        <f>'Review Actions'!F17</f>
        <v>Engineering</v>
      </c>
      <c r="E40" s="22" t="str">
        <f>'Review Actions'!G17</f>
        <v>Open</v>
      </c>
      <c r="F40" s="18" t="str">
        <f>'Review Actions'!E17</f>
        <v>Correct numeric length after drawing check and recalculate weight.</v>
      </c>
      <c r="G40" s="15"/>
      <c r="H40" s="15"/>
      <c r="I40" s="15"/>
      <c r="J40" s="15"/>
      <c r="K40" s="15"/>
      <c r="L40" s="15"/>
      <c r="M40" s="15"/>
    </row>
    <row r="41" spans="1:13" ht="27.6" x14ac:dyDescent="0.3">
      <c r="A41" s="18" t="str">
        <f>'Review Actions'!A18</f>
        <v>C-06</v>
      </c>
      <c r="B41" s="18" t="str">
        <f>'Review Actions'!B18</f>
        <v>Nozzle tags</v>
      </c>
      <c r="C41" s="18" t="str">
        <f>'Review Actions'!D18</f>
        <v>Gaskets are tagged V1,D2 and V2,D2; D2 repeats and D1 is missing.</v>
      </c>
      <c r="D41" s="18" t="str">
        <f>'Review Actions'!F18</f>
        <v>Engineering</v>
      </c>
      <c r="E41" s="22" t="str">
        <f>'Review Actions'!G18</f>
        <v>Open</v>
      </c>
      <c r="F41" s="18" t="str">
        <f>'Review Actions'!E18</f>
        <v>Correct first tag set to V1,D1 if drawing confirms.</v>
      </c>
      <c r="G41" s="15"/>
      <c r="H41" s="15"/>
      <c r="I41" s="15"/>
      <c r="J41" s="15"/>
      <c r="K41" s="15"/>
      <c r="L41" s="15"/>
      <c r="M41" s="15"/>
    </row>
    <row r="42" spans="1:13" ht="27.6" x14ac:dyDescent="0.3">
      <c r="A42" s="18" t="str">
        <f>'Review Actions'!A19</f>
        <v>C-07</v>
      </c>
      <c r="B42" s="18" t="str">
        <f>'Review Actions'!B19</f>
        <v>Spare gasket sizes</v>
      </c>
      <c r="C42" s="18" t="str">
        <f>'Review Actions'!D19</f>
        <v>Spare gasket dimensions do not match mating main-BOM flanges.</v>
      </c>
      <c r="D42" s="18" t="str">
        <f>'Review Actions'!F19</f>
        <v>Engineering / Procurement</v>
      </c>
      <c r="E42" s="22" t="str">
        <f>'Review Actions'!G19</f>
        <v>Open</v>
      </c>
      <c r="F42" s="18" t="str">
        <f>'Review Actions'!E19</f>
        <v>Reconcile each spare gasket OD/ID/class against the approved flange drawing.</v>
      </c>
      <c r="G42" s="15"/>
      <c r="H42" s="15"/>
      <c r="I42" s="15"/>
      <c r="J42" s="15"/>
      <c r="K42" s="15"/>
      <c r="L42" s="15"/>
      <c r="M42" s="15"/>
    </row>
    <row r="43" spans="1:13" ht="27.6" x14ac:dyDescent="0.3">
      <c r="A43" s="18" t="str">
        <f>'Review Actions'!A20</f>
        <v>C-08</v>
      </c>
      <c r="B43" s="18" t="str">
        <f>'Review Actions'!B20</f>
        <v>Missing checklist</v>
      </c>
      <c r="C43" s="18" t="str">
        <f>'Review Actions'!D20</f>
        <v>The referenced 24-point correction checklist was not attached separately.</v>
      </c>
      <c r="D43" s="18" t="str">
        <f>'Review Actions'!F20</f>
        <v>Document Control</v>
      </c>
      <c r="E43" s="22" t="str">
        <f>'Review Actions'!G20</f>
        <v>Open</v>
      </c>
      <c r="F43" s="18" t="str">
        <f>'Review Actions'!E20</f>
        <v>Provide the checklist so all 24 points can be logged and closed.</v>
      </c>
      <c r="G43" s="15"/>
      <c r="H43" s="15"/>
      <c r="I43" s="15"/>
      <c r="J43" s="15"/>
      <c r="K43" s="15"/>
      <c r="L43" s="15"/>
      <c r="M43" s="15"/>
    </row>
    <row r="44" spans="1:13" ht="41.4" x14ac:dyDescent="0.3">
      <c r="A44" s="18" t="str">
        <f>'Review Actions'!A21</f>
        <v>A-01</v>
      </c>
      <c r="B44" s="18" t="str">
        <f>'Review Actions'!B21</f>
        <v>HE stages</v>
      </c>
      <c r="C44" s="18" t="str">
        <f>'Review Actions'!D21</f>
        <v>SP40 confirms a MED Train 1 equipment configuration but provides no whole-equipment stage schedule, durations, or predecessors.</v>
      </c>
      <c r="D44" s="18" t="str">
        <f>'Review Actions'!F21</f>
        <v>Production Head / PPC</v>
      </c>
      <c r="E44" s="22" t="str">
        <f>'Review Actions'!G21</f>
        <v>Open</v>
      </c>
      <c r="F44" s="18" t="str">
        <f>'Review Actions'!E21</f>
        <v>Hold HE Stages blank until a workshop confirms type-specific stages, durations and dependencies.</v>
      </c>
      <c r="G44" s="15"/>
      <c r="H44" s="15"/>
      <c r="I44" s="15"/>
      <c r="J44" s="15"/>
      <c r="K44" s="15"/>
      <c r="L44" s="15"/>
      <c r="M44" s="15"/>
    </row>
    <row r="45" spans="1:13" ht="41.4" x14ac:dyDescent="0.3">
      <c r="A45" s="18" t="str">
        <f>'Review Actions'!A22</f>
        <v>A-02</v>
      </c>
      <c r="B45" s="18" t="str">
        <f>'Review Actions'!B22</f>
        <v>Standard times</v>
      </c>
      <c r="C45" s="18" t="str">
        <f>'Review Actions'!D22</f>
        <v>No approved shop standard times or bases were supplied.</v>
      </c>
      <c r="D45" s="18" t="str">
        <f>'Review Actions'!F22</f>
        <v>Department Supervisors / PPC</v>
      </c>
      <c r="E45" s="22" t="str">
        <f>'Review Actions'!G22</f>
        <v>Open</v>
      </c>
      <c r="F45" s="18" t="str">
        <f>'Review Actions'!E22</f>
        <v>Supervisors to provide time, unit and basis for each route step.</v>
      </c>
      <c r="G45" s="15"/>
      <c r="H45" s="15"/>
      <c r="I45" s="15"/>
      <c r="J45" s="15"/>
      <c r="K45" s="15"/>
      <c r="L45" s="15"/>
      <c r="M45" s="15"/>
    </row>
    <row r="46" spans="1:13" ht="27.6" x14ac:dyDescent="0.3">
      <c r="A46" s="18" t="str">
        <f>'Review Actions'!A23</f>
        <v>A-03</v>
      </c>
      <c r="B46" s="18" t="str">
        <f>'Review Actions'!B23</f>
        <v>Approval names</v>
      </c>
      <c r="C46" s="18" t="str">
        <f>'Review Actions'!D23</f>
        <v>Prepared-by and checked-by real names were not supplied.</v>
      </c>
      <c r="D46" s="18" t="str">
        <f>'Review Actions'!F23</f>
        <v>Document Control</v>
      </c>
      <c r="E46" s="22" t="str">
        <f>'Review Actions'!G23</f>
        <v>Open</v>
      </c>
      <c r="F46" s="18" t="str">
        <f>'Review Actions'!E23</f>
        <v>Enter actual preparer and Production Head reviewer names during sign-off.</v>
      </c>
      <c r="G46" s="15"/>
      <c r="H46" s="15"/>
      <c r="I46" s="15"/>
      <c r="J46" s="15"/>
      <c r="K46" s="15"/>
      <c r="L46" s="15"/>
      <c r="M46" s="15"/>
    </row>
  </sheetData>
  <mergeCells count="4">
    <mergeCell ref="A1:I1"/>
    <mergeCell ref="K1:M1"/>
    <mergeCell ref="K18:M18"/>
    <mergeCell ref="A2:H2"/>
  </mergeCells>
  <conditionalFormatting sqref="E28:E46">
    <cfRule type="expression" dxfId="1" priority="2">
      <formula>E28="Open"</formula>
    </cfRule>
  </conditionalFormatting>
  <conditionalFormatting sqref="I15:I24">
    <cfRule type="expression" dxfId="0" priority="1">
      <formula>LEFT(I15,4)="HOLD"</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A4EB6-ED9C-4BE9-A2B9-5F8D0CDED6A9}">
  <dimension ref="A1:H56"/>
  <sheetViews>
    <sheetView workbookViewId="0">
      <pane ySplit="2" topLeftCell="A44" activePane="bottomLeft" state="frozen"/>
      <selection pane="bottomLeft" activeCell="G44" sqref="G44"/>
    </sheetView>
  </sheetViews>
  <sheetFormatPr defaultRowHeight="14.4" x14ac:dyDescent="0.3"/>
  <cols>
    <col min="1" max="1" width="11.44140625" customWidth="1"/>
    <col min="2" max="2" width="24.109375" customWidth="1"/>
    <col min="3" max="3" width="26.88671875" customWidth="1"/>
    <col min="4" max="4" width="13.88671875" customWidth="1"/>
    <col min="5" max="5" width="59.21875" customWidth="1"/>
    <col min="6" max="6" width="22.21875" customWidth="1"/>
    <col min="7" max="8" width="42.5546875" customWidth="1"/>
  </cols>
  <sheetData>
    <row r="1" spans="1:8" ht="22.2" x14ac:dyDescent="0.3">
      <c r="A1" s="117" t="s">
        <v>912</v>
      </c>
      <c r="B1" s="117"/>
      <c r="C1" s="117"/>
      <c r="D1" s="117"/>
      <c r="E1" s="117"/>
      <c r="F1" s="117"/>
      <c r="G1" s="117"/>
      <c r="H1" s="117"/>
    </row>
    <row r="2" spans="1:8" x14ac:dyDescent="0.3">
      <c r="A2" s="42" t="s">
        <v>913</v>
      </c>
      <c r="B2" s="42"/>
      <c r="C2" s="42"/>
      <c r="D2" s="42"/>
      <c r="E2" s="42"/>
      <c r="F2" s="42"/>
      <c r="G2" s="42"/>
      <c r="H2" s="42"/>
    </row>
    <row r="3" spans="1:8" x14ac:dyDescent="0.3">
      <c r="A3" s="15"/>
      <c r="B3" s="15"/>
      <c r="C3" s="15"/>
      <c r="D3" s="15"/>
      <c r="E3" s="15"/>
      <c r="F3" s="15"/>
      <c r="G3" s="15"/>
      <c r="H3" s="15"/>
    </row>
    <row r="4" spans="1:8" x14ac:dyDescent="0.3">
      <c r="A4" s="16" t="s">
        <v>914</v>
      </c>
      <c r="B4" s="16" t="s">
        <v>915</v>
      </c>
      <c r="C4" s="15"/>
      <c r="D4" s="15"/>
      <c r="E4" s="15"/>
      <c r="F4" s="15"/>
      <c r="G4" s="15"/>
      <c r="H4" s="15"/>
    </row>
    <row r="5" spans="1:8" x14ac:dyDescent="0.3">
      <c r="A5" s="19" t="s">
        <v>916</v>
      </c>
      <c r="B5" s="15" t="s">
        <v>924</v>
      </c>
      <c r="C5" s="15"/>
      <c r="D5" s="15"/>
      <c r="E5" s="15"/>
      <c r="F5" s="15"/>
      <c r="G5" s="15"/>
      <c r="H5" s="15"/>
    </row>
    <row r="6" spans="1:8" x14ac:dyDescent="0.3">
      <c r="A6" s="19" t="s">
        <v>56</v>
      </c>
      <c r="B6" s="15" t="s">
        <v>925</v>
      </c>
      <c r="C6" s="15"/>
      <c r="D6" s="15"/>
      <c r="E6" s="15"/>
      <c r="F6" s="15"/>
      <c r="G6" s="15"/>
      <c r="H6" s="15"/>
    </row>
    <row r="7" spans="1:8" x14ac:dyDescent="0.3">
      <c r="A7" s="19" t="s">
        <v>917</v>
      </c>
      <c r="B7" s="15" t="s">
        <v>926</v>
      </c>
      <c r="C7" s="15"/>
      <c r="D7" s="15"/>
      <c r="E7" s="15"/>
      <c r="F7" s="15"/>
      <c r="G7" s="15"/>
      <c r="H7" s="15"/>
    </row>
    <row r="8" spans="1:8" x14ac:dyDescent="0.3">
      <c r="A8" s="19" t="s">
        <v>918</v>
      </c>
      <c r="B8" s="15" t="s">
        <v>927</v>
      </c>
      <c r="C8" s="15"/>
      <c r="D8" s="15"/>
      <c r="E8" s="15"/>
      <c r="F8" s="15"/>
      <c r="G8" s="15"/>
      <c r="H8" s="15"/>
    </row>
    <row r="9" spans="1:8" x14ac:dyDescent="0.3">
      <c r="A9" s="19" t="s">
        <v>919</v>
      </c>
      <c r="B9" s="15" t="s">
        <v>928</v>
      </c>
      <c r="C9" s="15"/>
      <c r="D9" s="15"/>
      <c r="E9" s="15"/>
      <c r="F9" s="15"/>
      <c r="G9" s="15"/>
      <c r="H9" s="15"/>
    </row>
    <row r="10" spans="1:8" x14ac:dyDescent="0.3">
      <c r="A10" s="19" t="s">
        <v>920</v>
      </c>
      <c r="B10" s="15" t="s">
        <v>929</v>
      </c>
      <c r="C10" s="15"/>
      <c r="D10" s="15"/>
      <c r="E10" s="15"/>
      <c r="F10" s="15"/>
      <c r="G10" s="15"/>
      <c r="H10" s="15"/>
    </row>
    <row r="11" spans="1:8" x14ac:dyDescent="0.3">
      <c r="A11" s="19" t="s">
        <v>921</v>
      </c>
      <c r="B11" s="15" t="s">
        <v>930</v>
      </c>
      <c r="C11" s="15"/>
      <c r="D11" s="15"/>
      <c r="E11" s="15"/>
      <c r="F11" s="15"/>
      <c r="G11" s="15"/>
      <c r="H11" s="15"/>
    </row>
    <row r="12" spans="1:8" x14ac:dyDescent="0.3">
      <c r="A12" s="19" t="s">
        <v>922</v>
      </c>
      <c r="B12" s="15" t="s">
        <v>931</v>
      </c>
      <c r="C12" s="15"/>
      <c r="D12" s="15"/>
      <c r="E12" s="15"/>
      <c r="F12" s="15"/>
      <c r="G12" s="15"/>
      <c r="H12" s="15"/>
    </row>
    <row r="13" spans="1:8" x14ac:dyDescent="0.3">
      <c r="A13" s="107" t="s">
        <v>923</v>
      </c>
      <c r="B13" s="107" t="s">
        <v>932</v>
      </c>
      <c r="C13" s="107"/>
      <c r="D13" s="107"/>
      <c r="E13" s="107"/>
      <c r="F13" s="107"/>
      <c r="G13" s="107"/>
      <c r="H13" s="107"/>
    </row>
    <row r="14" spans="1:8" ht="27.6" x14ac:dyDescent="0.3">
      <c r="A14" s="20"/>
      <c r="B14" s="20"/>
      <c r="C14" s="20"/>
      <c r="D14" s="20"/>
      <c r="E14" s="22"/>
      <c r="F14" s="20"/>
      <c r="G14" s="22"/>
      <c r="H14" s="22" t="s">
        <v>1390</v>
      </c>
    </row>
    <row r="15" spans="1:8" ht="27.6" x14ac:dyDescent="0.3">
      <c r="A15" s="118" t="s">
        <v>933</v>
      </c>
      <c r="B15" s="118" t="s">
        <v>934</v>
      </c>
      <c r="C15" s="118" t="s">
        <v>935</v>
      </c>
      <c r="D15" s="118" t="s">
        <v>936</v>
      </c>
      <c r="E15" s="121" t="s">
        <v>937</v>
      </c>
      <c r="F15" s="118" t="s">
        <v>938</v>
      </c>
      <c r="G15" s="121" t="s">
        <v>939</v>
      </c>
      <c r="H15" s="121" t="s">
        <v>1390</v>
      </c>
    </row>
    <row r="16" spans="1:8" ht="27.6" x14ac:dyDescent="0.3">
      <c r="A16" s="22" t="s">
        <v>940</v>
      </c>
      <c r="B16" s="22" t="s">
        <v>941</v>
      </c>
      <c r="C16" s="22" t="s">
        <v>942</v>
      </c>
      <c r="D16" s="22" t="s">
        <v>943</v>
      </c>
      <c r="E16" s="22" t="s">
        <v>944</v>
      </c>
      <c r="F16" s="22" t="s">
        <v>139</v>
      </c>
      <c r="G16" s="22" t="s">
        <v>945</v>
      </c>
      <c r="H16" s="22" t="s">
        <v>1390</v>
      </c>
    </row>
    <row r="17" spans="1:8" ht="27.6" x14ac:dyDescent="0.3">
      <c r="A17" s="22" t="s">
        <v>946</v>
      </c>
      <c r="B17" s="22" t="s">
        <v>941</v>
      </c>
      <c r="C17" s="22" t="s">
        <v>942</v>
      </c>
      <c r="D17" s="22" t="s">
        <v>943</v>
      </c>
      <c r="E17" s="22" t="s">
        <v>947</v>
      </c>
      <c r="F17" s="22" t="s">
        <v>139</v>
      </c>
      <c r="G17" s="22" t="s">
        <v>945</v>
      </c>
      <c r="H17" s="22" t="s">
        <v>1390</v>
      </c>
    </row>
    <row r="18" spans="1:8" ht="27.6" x14ac:dyDescent="0.3">
      <c r="A18" s="22" t="s">
        <v>948</v>
      </c>
      <c r="B18" s="22" t="s">
        <v>941</v>
      </c>
      <c r="C18" s="22" t="s">
        <v>942</v>
      </c>
      <c r="D18" s="22" t="s">
        <v>943</v>
      </c>
      <c r="E18" s="22" t="s">
        <v>949</v>
      </c>
      <c r="F18" s="22" t="s">
        <v>134</v>
      </c>
      <c r="G18" s="22" t="s">
        <v>945</v>
      </c>
      <c r="H18" s="22" t="s">
        <v>1390</v>
      </c>
    </row>
    <row r="19" spans="1:8" ht="27.6" x14ac:dyDescent="0.3">
      <c r="A19" s="22" t="s">
        <v>950</v>
      </c>
      <c r="B19" s="22" t="s">
        <v>941</v>
      </c>
      <c r="C19" s="22" t="s">
        <v>942</v>
      </c>
      <c r="D19" s="22" t="s">
        <v>943</v>
      </c>
      <c r="E19" s="22" t="s">
        <v>951</v>
      </c>
      <c r="F19" s="22" t="s">
        <v>135</v>
      </c>
      <c r="G19" s="22" t="s">
        <v>945</v>
      </c>
      <c r="H19" s="22" t="s">
        <v>1390</v>
      </c>
    </row>
    <row r="20" spans="1:8" ht="27.6" x14ac:dyDescent="0.3">
      <c r="A20" s="22" t="s">
        <v>952</v>
      </c>
      <c r="B20" s="22" t="s">
        <v>953</v>
      </c>
      <c r="C20" s="22" t="s">
        <v>954</v>
      </c>
      <c r="D20" s="22" t="s">
        <v>955</v>
      </c>
      <c r="E20" s="22" t="s">
        <v>956</v>
      </c>
      <c r="F20" s="22" t="s">
        <v>192</v>
      </c>
      <c r="G20" s="22" t="s">
        <v>957</v>
      </c>
      <c r="H20" s="22" t="s">
        <v>1390</v>
      </c>
    </row>
    <row r="21" spans="1:8" ht="27.6" x14ac:dyDescent="0.3">
      <c r="A21" s="22" t="s">
        <v>959</v>
      </c>
      <c r="B21" s="22" t="s">
        <v>953</v>
      </c>
      <c r="C21" s="22" t="s">
        <v>954</v>
      </c>
      <c r="D21" s="22" t="s">
        <v>955</v>
      </c>
      <c r="E21" s="22" t="s">
        <v>960</v>
      </c>
      <c r="F21" s="22" t="s">
        <v>134</v>
      </c>
      <c r="G21" s="22" t="s">
        <v>961</v>
      </c>
      <c r="H21" s="22" t="s">
        <v>1390</v>
      </c>
    </row>
    <row r="22" spans="1:8" ht="27.6" x14ac:dyDescent="0.3">
      <c r="A22" s="22" t="s">
        <v>962</v>
      </c>
      <c r="B22" s="22" t="s">
        <v>953</v>
      </c>
      <c r="C22" s="22" t="s">
        <v>954</v>
      </c>
      <c r="D22" s="22" t="s">
        <v>955</v>
      </c>
      <c r="E22" s="22" t="s">
        <v>963</v>
      </c>
      <c r="F22" s="22" t="s">
        <v>136</v>
      </c>
      <c r="G22" s="22" t="s">
        <v>961</v>
      </c>
      <c r="H22" s="22" t="s">
        <v>1391</v>
      </c>
    </row>
    <row r="23" spans="1:8" ht="27.6" x14ac:dyDescent="0.3">
      <c r="A23" s="22" t="s">
        <v>964</v>
      </c>
      <c r="B23" s="22" t="s">
        <v>953</v>
      </c>
      <c r="C23" s="22" t="s">
        <v>954</v>
      </c>
      <c r="D23" s="22" t="s">
        <v>955</v>
      </c>
      <c r="E23" s="22" t="s">
        <v>965</v>
      </c>
      <c r="F23" s="22" t="s">
        <v>135</v>
      </c>
      <c r="G23" s="22" t="s">
        <v>961</v>
      </c>
      <c r="H23" s="22" t="s">
        <v>1392</v>
      </c>
    </row>
    <row r="24" spans="1:8" x14ac:dyDescent="0.3">
      <c r="A24" s="22" t="s">
        <v>966</v>
      </c>
      <c r="B24" s="22" t="s">
        <v>510</v>
      </c>
      <c r="C24" s="22" t="s">
        <v>967</v>
      </c>
      <c r="D24" s="22">
        <v>23</v>
      </c>
      <c r="E24" s="22" t="s">
        <v>968</v>
      </c>
      <c r="F24" s="22" t="s">
        <v>969</v>
      </c>
      <c r="G24" s="22" t="s">
        <v>12</v>
      </c>
      <c r="H24" s="22" t="s">
        <v>1393</v>
      </c>
    </row>
    <row r="25" spans="1:8" ht="27.6" x14ac:dyDescent="0.3">
      <c r="A25" s="22" t="s">
        <v>970</v>
      </c>
      <c r="B25" s="22" t="s">
        <v>350</v>
      </c>
      <c r="C25" s="22" t="s">
        <v>971</v>
      </c>
      <c r="D25" s="22" t="s">
        <v>972</v>
      </c>
      <c r="E25" s="22" t="s">
        <v>973</v>
      </c>
      <c r="F25" s="22" t="s">
        <v>192</v>
      </c>
      <c r="G25" s="22" t="s">
        <v>974</v>
      </c>
      <c r="H25" s="22" t="s">
        <v>1394</v>
      </c>
    </row>
    <row r="26" spans="1:8" ht="27.6" x14ac:dyDescent="0.3">
      <c r="A26" s="22" t="s">
        <v>975</v>
      </c>
      <c r="B26" s="22" t="s">
        <v>976</v>
      </c>
      <c r="C26" s="22" t="s">
        <v>977</v>
      </c>
      <c r="D26" s="22" t="s">
        <v>978</v>
      </c>
      <c r="E26" s="22" t="s">
        <v>979</v>
      </c>
      <c r="F26" s="22" t="s">
        <v>135</v>
      </c>
      <c r="G26" s="22" t="s">
        <v>980</v>
      </c>
      <c r="H26" s="22" t="s">
        <v>1392</v>
      </c>
    </row>
    <row r="27" spans="1:8" x14ac:dyDescent="0.3">
      <c r="A27" s="119" t="s">
        <v>981</v>
      </c>
      <c r="B27" s="119" t="s">
        <v>395</v>
      </c>
      <c r="C27" s="119" t="s">
        <v>982</v>
      </c>
      <c r="D27" s="119">
        <v>20</v>
      </c>
      <c r="E27" s="119" t="s">
        <v>983</v>
      </c>
      <c r="F27" s="119" t="s">
        <v>969</v>
      </c>
      <c r="G27" s="119" t="s">
        <v>12</v>
      </c>
      <c r="H27" s="119" t="s">
        <v>984</v>
      </c>
    </row>
    <row r="28" spans="1:8" x14ac:dyDescent="0.3">
      <c r="A28" s="18" t="s">
        <v>985</v>
      </c>
      <c r="B28" s="18" t="s">
        <v>75</v>
      </c>
      <c r="C28" s="18" t="s">
        <v>986</v>
      </c>
      <c r="D28" s="18">
        <v>3</v>
      </c>
      <c r="E28" s="18" t="s">
        <v>987</v>
      </c>
      <c r="F28" s="18" t="s">
        <v>192</v>
      </c>
      <c r="G28" s="120" t="s">
        <v>988</v>
      </c>
      <c r="H28" s="120" t="s">
        <v>958</v>
      </c>
    </row>
    <row r="29" spans="1:8" x14ac:dyDescent="0.3">
      <c r="A29" s="15"/>
      <c r="B29" s="15"/>
      <c r="C29" s="15"/>
      <c r="D29" s="15"/>
      <c r="E29" s="18"/>
      <c r="F29" s="15"/>
      <c r="G29" s="120"/>
      <c r="H29" s="120"/>
    </row>
    <row r="30" spans="1:8" x14ac:dyDescent="0.3">
      <c r="A30" s="15"/>
      <c r="B30" s="15"/>
      <c r="C30" s="15"/>
      <c r="D30" s="15"/>
      <c r="E30" s="18"/>
      <c r="F30" s="15"/>
      <c r="G30" s="120"/>
      <c r="H30" s="120"/>
    </row>
    <row r="31" spans="1:8" x14ac:dyDescent="0.3">
      <c r="A31" s="16" t="s">
        <v>989</v>
      </c>
      <c r="B31" s="16" t="s">
        <v>990</v>
      </c>
      <c r="C31" s="16" t="s">
        <v>991</v>
      </c>
      <c r="D31" s="16" t="s">
        <v>992</v>
      </c>
      <c r="E31" s="122" t="s">
        <v>993</v>
      </c>
      <c r="F31" s="15"/>
      <c r="G31" s="123" t="s">
        <v>1042</v>
      </c>
      <c r="H31" s="123" t="s">
        <v>1043</v>
      </c>
    </row>
    <row r="32" spans="1:8" x14ac:dyDescent="0.3">
      <c r="A32" s="15">
        <v>1</v>
      </c>
      <c r="B32" s="15" t="s">
        <v>994</v>
      </c>
      <c r="C32" s="15" t="s">
        <v>995</v>
      </c>
      <c r="D32" s="15">
        <v>0</v>
      </c>
      <c r="E32" s="18" t="s">
        <v>996</v>
      </c>
      <c r="F32" s="15"/>
      <c r="G32" s="120" t="s">
        <v>1044</v>
      </c>
      <c r="H32" s="120" t="s">
        <v>1045</v>
      </c>
    </row>
    <row r="33" spans="1:8" x14ac:dyDescent="0.3">
      <c r="A33" s="15">
        <v>2</v>
      </c>
      <c r="B33" s="15" t="s">
        <v>994</v>
      </c>
      <c r="C33" s="15" t="s">
        <v>997</v>
      </c>
      <c r="D33" s="15">
        <v>0</v>
      </c>
      <c r="E33" s="18" t="s">
        <v>998</v>
      </c>
      <c r="F33" s="15"/>
      <c r="G33" s="120" t="s">
        <v>1046</v>
      </c>
      <c r="H33" s="120" t="s">
        <v>1047</v>
      </c>
    </row>
    <row r="34" spans="1:8" x14ac:dyDescent="0.3">
      <c r="A34" s="15">
        <v>3</v>
      </c>
      <c r="B34" s="15" t="s">
        <v>986</v>
      </c>
      <c r="C34" s="15" t="s">
        <v>999</v>
      </c>
      <c r="D34" s="15">
        <v>0</v>
      </c>
      <c r="E34" s="18" t="s">
        <v>1000</v>
      </c>
      <c r="F34" s="15"/>
      <c r="G34" s="120" t="s">
        <v>603</v>
      </c>
      <c r="H34" s="120" t="s">
        <v>1048</v>
      </c>
    </row>
    <row r="35" spans="1:8" ht="27.6" x14ac:dyDescent="0.3">
      <c r="A35" s="15">
        <v>4</v>
      </c>
      <c r="B35" s="15" t="s">
        <v>1001</v>
      </c>
      <c r="C35" s="15" t="s">
        <v>999</v>
      </c>
      <c r="D35" s="15">
        <v>0</v>
      </c>
      <c r="E35" s="18" t="s">
        <v>1002</v>
      </c>
      <c r="F35" s="15"/>
      <c r="G35" s="120" t="s">
        <v>1049</v>
      </c>
      <c r="H35" s="120" t="s">
        <v>1050</v>
      </c>
    </row>
    <row r="36" spans="1:8" x14ac:dyDescent="0.3">
      <c r="A36" s="15">
        <v>5</v>
      </c>
      <c r="B36" s="15" t="s">
        <v>1003</v>
      </c>
      <c r="C36" s="15" t="s">
        <v>999</v>
      </c>
      <c r="D36" s="15">
        <v>0</v>
      </c>
      <c r="E36" s="18" t="s">
        <v>1004</v>
      </c>
      <c r="F36" s="15"/>
      <c r="G36" s="120" t="s">
        <v>1051</v>
      </c>
      <c r="H36" s="120" t="s">
        <v>1052</v>
      </c>
    </row>
    <row r="37" spans="1:8" x14ac:dyDescent="0.3">
      <c r="A37" s="15">
        <v>6</v>
      </c>
      <c r="B37" s="15" t="s">
        <v>1005</v>
      </c>
      <c r="C37" s="15" t="s">
        <v>1006</v>
      </c>
      <c r="D37" s="15">
        <v>0</v>
      </c>
      <c r="E37" s="18" t="s">
        <v>1007</v>
      </c>
      <c r="F37" s="15"/>
      <c r="G37" s="120" t="s">
        <v>1053</v>
      </c>
      <c r="H37" s="120" t="s">
        <v>1054</v>
      </c>
    </row>
    <row r="38" spans="1:8" ht="27.6" x14ac:dyDescent="0.3">
      <c r="A38" s="15">
        <v>7</v>
      </c>
      <c r="B38" s="15" t="s">
        <v>1005</v>
      </c>
      <c r="C38" s="15" t="s">
        <v>1008</v>
      </c>
      <c r="D38" s="15">
        <v>0</v>
      </c>
      <c r="E38" s="18" t="s">
        <v>1009</v>
      </c>
      <c r="F38" s="15"/>
      <c r="G38" s="120" t="s">
        <v>1055</v>
      </c>
      <c r="H38" s="120" t="s">
        <v>1056</v>
      </c>
    </row>
    <row r="39" spans="1:8" x14ac:dyDescent="0.3">
      <c r="A39" s="15">
        <v>8</v>
      </c>
      <c r="B39" s="15" t="s">
        <v>1005</v>
      </c>
      <c r="C39" s="15" t="s">
        <v>1010</v>
      </c>
      <c r="D39" s="15">
        <v>0</v>
      </c>
      <c r="E39" s="18" t="s">
        <v>1011</v>
      </c>
      <c r="F39" s="15"/>
      <c r="G39" s="120"/>
      <c r="H39" s="120"/>
    </row>
    <row r="40" spans="1:8" x14ac:dyDescent="0.3">
      <c r="A40" s="15">
        <v>9</v>
      </c>
      <c r="B40" s="15" t="s">
        <v>1012</v>
      </c>
      <c r="C40" s="15" t="s">
        <v>1006</v>
      </c>
      <c r="D40" s="15">
        <v>0</v>
      </c>
      <c r="E40" s="18" t="s">
        <v>1013</v>
      </c>
      <c r="F40" s="15"/>
      <c r="G40" s="120"/>
      <c r="H40" s="120"/>
    </row>
    <row r="41" spans="1:8" x14ac:dyDescent="0.3">
      <c r="A41" s="15">
        <v>10</v>
      </c>
      <c r="B41" s="15" t="s">
        <v>1012</v>
      </c>
      <c r="C41" s="15" t="s">
        <v>1008</v>
      </c>
      <c r="D41" s="15">
        <v>0</v>
      </c>
      <c r="E41" s="18" t="s">
        <v>1014</v>
      </c>
      <c r="F41" s="15"/>
      <c r="G41" s="120"/>
      <c r="H41" s="120"/>
    </row>
    <row r="42" spans="1:8" x14ac:dyDescent="0.3">
      <c r="A42" s="15">
        <v>11</v>
      </c>
      <c r="B42" s="15" t="s">
        <v>1012</v>
      </c>
      <c r="C42" s="15" t="s">
        <v>1010</v>
      </c>
      <c r="D42" s="15">
        <v>0</v>
      </c>
      <c r="E42" s="18" t="s">
        <v>1015</v>
      </c>
      <c r="F42" s="15"/>
      <c r="G42" s="120"/>
      <c r="H42" s="120"/>
    </row>
    <row r="43" spans="1:8" x14ac:dyDescent="0.3">
      <c r="A43" s="15">
        <v>12</v>
      </c>
      <c r="B43" s="15" t="s">
        <v>1016</v>
      </c>
      <c r="C43" s="15" t="s">
        <v>995</v>
      </c>
      <c r="D43" s="15">
        <v>0</v>
      </c>
      <c r="E43" s="18" t="s">
        <v>1017</v>
      </c>
      <c r="F43" s="15"/>
      <c r="G43" s="120"/>
      <c r="H43" s="120"/>
    </row>
    <row r="44" spans="1:8" x14ac:dyDescent="0.3">
      <c r="A44" s="15">
        <v>13</v>
      </c>
      <c r="B44" s="15" t="s">
        <v>1016</v>
      </c>
      <c r="C44" s="15" t="s">
        <v>997</v>
      </c>
      <c r="D44" s="15">
        <v>0</v>
      </c>
      <c r="E44" s="18" t="s">
        <v>1018</v>
      </c>
      <c r="F44" s="15"/>
      <c r="G44" s="120"/>
      <c r="H44" s="120"/>
    </row>
    <row r="45" spans="1:8" x14ac:dyDescent="0.3">
      <c r="A45" s="15">
        <v>14</v>
      </c>
      <c r="B45" s="15" t="s">
        <v>1019</v>
      </c>
      <c r="C45" s="15" t="s">
        <v>1020</v>
      </c>
      <c r="D45" s="15">
        <v>0</v>
      </c>
      <c r="E45" s="18" t="s">
        <v>1021</v>
      </c>
      <c r="F45" s="15"/>
      <c r="G45" s="120"/>
      <c r="H45" s="120"/>
    </row>
    <row r="46" spans="1:8" x14ac:dyDescent="0.3">
      <c r="A46" s="15">
        <v>15</v>
      </c>
      <c r="B46" s="15" t="s">
        <v>1019</v>
      </c>
      <c r="C46" s="15" t="s">
        <v>1022</v>
      </c>
      <c r="D46" s="15">
        <v>0</v>
      </c>
      <c r="E46" s="18" t="s">
        <v>1023</v>
      </c>
      <c r="F46" s="15"/>
      <c r="G46" s="120"/>
      <c r="H46" s="120"/>
    </row>
    <row r="47" spans="1:8" x14ac:dyDescent="0.3">
      <c r="A47" s="15">
        <v>16</v>
      </c>
      <c r="B47" s="15" t="s">
        <v>1019</v>
      </c>
      <c r="C47" s="15" t="s">
        <v>1024</v>
      </c>
      <c r="D47" s="15">
        <v>0</v>
      </c>
      <c r="E47" s="18" t="s">
        <v>1025</v>
      </c>
      <c r="F47" s="15"/>
      <c r="G47" s="120"/>
      <c r="H47" s="120"/>
    </row>
    <row r="48" spans="1:8" x14ac:dyDescent="0.3">
      <c r="A48" s="15">
        <v>17</v>
      </c>
      <c r="B48" s="15" t="s">
        <v>1019</v>
      </c>
      <c r="C48" s="15" t="s">
        <v>1026</v>
      </c>
      <c r="D48" s="15">
        <v>0</v>
      </c>
      <c r="E48" s="18" t="s">
        <v>1027</v>
      </c>
      <c r="F48" s="15"/>
      <c r="G48" s="120"/>
      <c r="H48" s="120"/>
    </row>
    <row r="49" spans="1:8" x14ac:dyDescent="0.3">
      <c r="A49" s="15">
        <v>18</v>
      </c>
      <c r="B49" s="15" t="s">
        <v>1019</v>
      </c>
      <c r="C49" s="15" t="s">
        <v>1028</v>
      </c>
      <c r="D49" s="15">
        <v>0</v>
      </c>
      <c r="E49" s="18" t="s">
        <v>1029</v>
      </c>
      <c r="F49" s="15"/>
      <c r="G49" s="120"/>
      <c r="H49" s="120"/>
    </row>
    <row r="50" spans="1:8" x14ac:dyDescent="0.3">
      <c r="A50" s="15">
        <v>19</v>
      </c>
      <c r="B50" s="15" t="s">
        <v>1019</v>
      </c>
      <c r="C50" s="15" t="s">
        <v>1030</v>
      </c>
      <c r="D50" s="15">
        <v>0</v>
      </c>
      <c r="E50" s="18" t="s">
        <v>1031</v>
      </c>
      <c r="F50" s="15"/>
      <c r="G50" s="120"/>
      <c r="H50" s="120"/>
    </row>
    <row r="51" spans="1:8" x14ac:dyDescent="0.3">
      <c r="A51" s="15">
        <v>20</v>
      </c>
      <c r="B51" s="15" t="s">
        <v>982</v>
      </c>
      <c r="C51" s="15" t="s">
        <v>999</v>
      </c>
      <c r="D51" s="15">
        <v>0</v>
      </c>
      <c r="E51" s="18" t="s">
        <v>1032</v>
      </c>
      <c r="F51" s="15"/>
      <c r="G51" s="120"/>
      <c r="H51" s="120"/>
    </row>
    <row r="52" spans="1:8" x14ac:dyDescent="0.3">
      <c r="A52" s="15">
        <v>21</v>
      </c>
      <c r="B52" s="15" t="s">
        <v>1033</v>
      </c>
      <c r="C52" s="15" t="s">
        <v>999</v>
      </c>
      <c r="D52" s="15">
        <v>0</v>
      </c>
      <c r="E52" s="18" t="s">
        <v>1034</v>
      </c>
      <c r="F52" s="15"/>
      <c r="G52" s="120"/>
      <c r="H52" s="120"/>
    </row>
    <row r="53" spans="1:8" x14ac:dyDescent="0.3">
      <c r="A53" s="15">
        <v>22</v>
      </c>
      <c r="B53" s="15" t="s">
        <v>1035</v>
      </c>
      <c r="C53" s="15" t="s">
        <v>999</v>
      </c>
      <c r="D53" s="15">
        <v>0</v>
      </c>
      <c r="E53" s="18" t="s">
        <v>1036</v>
      </c>
      <c r="F53" s="15"/>
      <c r="G53" s="120"/>
      <c r="H53" s="120"/>
    </row>
    <row r="54" spans="1:8" x14ac:dyDescent="0.3">
      <c r="A54" s="15">
        <v>23</v>
      </c>
      <c r="B54" s="15" t="s">
        <v>967</v>
      </c>
      <c r="C54" s="15" t="s">
        <v>999</v>
      </c>
      <c r="D54" s="15">
        <v>0</v>
      </c>
      <c r="E54" s="18" t="s">
        <v>1037</v>
      </c>
      <c r="F54" s="15"/>
      <c r="G54" s="120"/>
      <c r="H54" s="120"/>
    </row>
    <row r="55" spans="1:8" x14ac:dyDescent="0.3">
      <c r="A55" s="15">
        <v>24</v>
      </c>
      <c r="B55" s="15" t="s">
        <v>1038</v>
      </c>
      <c r="C55" s="15" t="s">
        <v>999</v>
      </c>
      <c r="D55" s="15">
        <v>0</v>
      </c>
      <c r="E55" s="18" t="s">
        <v>1039</v>
      </c>
      <c r="F55" s="15"/>
      <c r="G55" s="120"/>
      <c r="H55" s="120"/>
    </row>
    <row r="56" spans="1:8" x14ac:dyDescent="0.3">
      <c r="A56">
        <v>25</v>
      </c>
      <c r="B56" t="s">
        <v>1040</v>
      </c>
      <c r="C56" t="s">
        <v>999</v>
      </c>
      <c r="D56">
        <v>0</v>
      </c>
      <c r="E56" s="54" t="s">
        <v>1041</v>
      </c>
      <c r="G56" s="124"/>
      <c r="H56" s="124"/>
    </row>
  </sheetData>
  <mergeCells count="2">
    <mergeCell ref="A1:H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756-817B-40BA-AA8C-FCE2CEE6FF78}">
  <dimension ref="A1:H78"/>
  <sheetViews>
    <sheetView workbookViewId="0">
      <pane ySplit="2" topLeftCell="A3" activePane="bottomLeft" state="frozen"/>
      <selection pane="bottomLeft" activeCell="A13" sqref="A13:C32"/>
    </sheetView>
  </sheetViews>
  <sheetFormatPr defaultRowHeight="14.4" x14ac:dyDescent="0.3"/>
  <cols>
    <col min="2" max="2" width="38.88671875" customWidth="1"/>
    <col min="5" max="5" width="48.109375" customWidth="1"/>
    <col min="8" max="8" width="46.33203125" customWidth="1"/>
  </cols>
  <sheetData>
    <row r="1" spans="1:8" x14ac:dyDescent="0.3">
      <c r="A1" s="94" t="s">
        <v>1395</v>
      </c>
      <c r="B1" s="94"/>
      <c r="C1" s="94"/>
      <c r="D1" s="94"/>
      <c r="E1" s="94"/>
      <c r="F1" s="94"/>
      <c r="G1" s="94"/>
      <c r="H1" s="94"/>
    </row>
    <row r="2" spans="1:8" x14ac:dyDescent="0.3">
      <c r="A2" s="125" t="s">
        <v>1396</v>
      </c>
      <c r="B2" s="126"/>
      <c r="C2" s="126"/>
      <c r="D2" s="126"/>
      <c r="E2" s="126"/>
      <c r="F2" s="126"/>
      <c r="G2" s="126"/>
      <c r="H2" s="126"/>
    </row>
    <row r="3" spans="1:8" x14ac:dyDescent="0.3">
      <c r="A3" s="96" t="s">
        <v>1397</v>
      </c>
      <c r="B3" s="127" t="s">
        <v>617</v>
      </c>
      <c r="C3" s="54"/>
      <c r="D3" s="54"/>
      <c r="E3" s="54"/>
      <c r="F3" s="54"/>
      <c r="G3" s="54"/>
      <c r="H3" s="54"/>
    </row>
    <row r="4" spans="1:8" x14ac:dyDescent="0.3">
      <c r="A4" s="98" t="s">
        <v>1398</v>
      </c>
      <c r="B4" s="102" t="s">
        <v>1399</v>
      </c>
      <c r="C4" s="54"/>
      <c r="D4" s="54"/>
      <c r="E4" s="54"/>
      <c r="F4" s="54"/>
      <c r="G4" s="54"/>
      <c r="H4" s="54"/>
    </row>
    <row r="5" spans="1:8" x14ac:dyDescent="0.3">
      <c r="A5" s="98" t="s">
        <v>1400</v>
      </c>
      <c r="B5" s="102" t="s">
        <v>1401</v>
      </c>
      <c r="C5" s="54"/>
      <c r="D5" s="54"/>
      <c r="E5" s="54"/>
      <c r="F5" s="54"/>
      <c r="G5" s="54"/>
      <c r="H5" s="54"/>
    </row>
    <row r="6" spans="1:8" ht="28.8" x14ac:dyDescent="0.3">
      <c r="A6" s="98" t="s">
        <v>1402</v>
      </c>
      <c r="B6" s="102" t="s">
        <v>1403</v>
      </c>
      <c r="C6" s="54"/>
      <c r="D6" s="54"/>
      <c r="E6" s="54"/>
      <c r="F6" s="54"/>
      <c r="G6" s="54"/>
      <c r="H6" s="54"/>
    </row>
    <row r="7" spans="1:8" ht="28.8" x14ac:dyDescent="0.3">
      <c r="A7" s="98" t="s">
        <v>916</v>
      </c>
      <c r="B7" s="102" t="s">
        <v>1404</v>
      </c>
      <c r="C7" s="54"/>
      <c r="D7" s="54"/>
      <c r="E7" s="54"/>
      <c r="F7" s="54"/>
      <c r="G7" s="54"/>
      <c r="H7" s="54"/>
    </row>
    <row r="8" spans="1:8" x14ac:dyDescent="0.3">
      <c r="A8" s="98" t="s">
        <v>1405</v>
      </c>
      <c r="B8" s="102" t="s">
        <v>1406</v>
      </c>
      <c r="C8" s="54"/>
      <c r="D8" s="54"/>
      <c r="E8" s="54"/>
      <c r="F8" s="54"/>
      <c r="G8" s="54"/>
      <c r="H8" s="54"/>
    </row>
    <row r="9" spans="1:8" x14ac:dyDescent="0.3">
      <c r="A9" s="98" t="s">
        <v>1407</v>
      </c>
      <c r="B9" s="102" t="s">
        <v>1408</v>
      </c>
      <c r="C9" s="54"/>
      <c r="D9" s="54"/>
      <c r="E9" s="54"/>
      <c r="F9" s="54"/>
      <c r="G9" s="54"/>
      <c r="H9" s="54"/>
    </row>
    <row r="10" spans="1:8" x14ac:dyDescent="0.3">
      <c r="A10" s="98" t="s">
        <v>1409</v>
      </c>
      <c r="B10" s="102" t="s">
        <v>1410</v>
      </c>
      <c r="C10" s="54"/>
      <c r="D10" s="54"/>
      <c r="E10" s="54"/>
      <c r="F10" s="54"/>
      <c r="G10" s="54"/>
      <c r="H10" s="54"/>
    </row>
    <row r="11" spans="1:8" x14ac:dyDescent="0.3">
      <c r="A11" s="98" t="s">
        <v>1411</v>
      </c>
      <c r="B11" s="102" t="s">
        <v>1412</v>
      </c>
      <c r="C11" s="54"/>
      <c r="D11" s="54"/>
      <c r="E11" s="54"/>
      <c r="F11" s="54"/>
      <c r="G11" s="54"/>
      <c r="H11" s="54"/>
    </row>
    <row r="12" spans="1:8" x14ac:dyDescent="0.3">
      <c r="A12" s="98" t="s">
        <v>1413</v>
      </c>
      <c r="B12" s="102" t="s">
        <v>1414</v>
      </c>
      <c r="C12" s="54"/>
      <c r="D12" s="54"/>
      <c r="E12" s="54"/>
      <c r="F12" s="54"/>
      <c r="G12" s="54"/>
      <c r="H12" s="54"/>
    </row>
    <row r="13" spans="1:8" ht="28.8" x14ac:dyDescent="0.3">
      <c r="A13" s="98" t="s">
        <v>1415</v>
      </c>
      <c r="B13" s="102" t="s">
        <v>1416</v>
      </c>
      <c r="C13" s="54"/>
      <c r="D13" s="54"/>
      <c r="E13" s="54"/>
      <c r="F13" s="54"/>
      <c r="G13" s="54"/>
      <c r="H13" s="54"/>
    </row>
    <row r="14" spans="1:8" x14ac:dyDescent="0.3">
      <c r="A14" s="98" t="s">
        <v>1417</v>
      </c>
      <c r="B14" s="102" t="s">
        <v>1418</v>
      </c>
      <c r="C14" s="54"/>
      <c r="D14" s="54"/>
      <c r="E14" s="54"/>
      <c r="F14" s="54"/>
      <c r="G14" s="54"/>
      <c r="H14" s="54"/>
    </row>
    <row r="15" spans="1:8" x14ac:dyDescent="0.3">
      <c r="A15" s="98" t="s">
        <v>1419</v>
      </c>
      <c r="B15" s="102" t="s">
        <v>1420</v>
      </c>
      <c r="C15" s="54"/>
      <c r="D15" s="54"/>
      <c r="E15" s="54"/>
      <c r="F15" s="54"/>
      <c r="G15" s="54"/>
      <c r="H15" s="54"/>
    </row>
    <row r="16" spans="1:8" ht="28.8" x14ac:dyDescent="0.3">
      <c r="A16" s="98" t="s">
        <v>1421</v>
      </c>
      <c r="B16" s="102" t="s">
        <v>1422</v>
      </c>
      <c r="C16" s="54"/>
      <c r="D16" s="54"/>
      <c r="E16" s="54"/>
      <c r="F16" s="54"/>
      <c r="G16" s="54"/>
      <c r="H16" s="54"/>
    </row>
    <row r="17" spans="1:8" x14ac:dyDescent="0.3">
      <c r="A17" s="98" t="s">
        <v>1423</v>
      </c>
      <c r="B17" s="102" t="s">
        <v>1424</v>
      </c>
      <c r="C17" s="54"/>
      <c r="D17" s="54"/>
      <c r="E17" s="54"/>
      <c r="F17" s="54"/>
      <c r="G17" s="54"/>
      <c r="H17" s="54"/>
    </row>
    <row r="18" spans="1:8" ht="28.8" x14ac:dyDescent="0.3">
      <c r="A18" s="98" t="s">
        <v>1425</v>
      </c>
      <c r="B18" s="102" t="s">
        <v>1426</v>
      </c>
      <c r="C18" s="54"/>
      <c r="D18" s="54"/>
      <c r="E18" s="54"/>
      <c r="F18" s="54"/>
      <c r="G18" s="54"/>
      <c r="H18" s="54"/>
    </row>
    <row r="19" spans="1:8" ht="28.8" x14ac:dyDescent="0.3">
      <c r="A19" s="98" t="s">
        <v>1427</v>
      </c>
      <c r="B19" s="102" t="s">
        <v>1428</v>
      </c>
      <c r="C19" s="54"/>
      <c r="D19" s="54"/>
      <c r="E19" s="54"/>
      <c r="F19" s="54"/>
      <c r="G19" s="54"/>
      <c r="H19" s="54"/>
    </row>
    <row r="20" spans="1:8" x14ac:dyDescent="0.3">
      <c r="B20" s="54"/>
      <c r="C20" s="54"/>
      <c r="D20" s="54"/>
      <c r="E20" s="54"/>
      <c r="F20" s="54"/>
      <c r="G20" s="54"/>
      <c r="H20" s="54"/>
    </row>
    <row r="21" spans="1:8" ht="28.8" x14ac:dyDescent="0.3">
      <c r="A21" s="96" t="s">
        <v>1429</v>
      </c>
      <c r="B21" s="127" t="s">
        <v>1430</v>
      </c>
      <c r="C21" s="127" t="s">
        <v>1431</v>
      </c>
      <c r="D21" s="127" t="s">
        <v>1432</v>
      </c>
      <c r="E21" s="127" t="s">
        <v>1433</v>
      </c>
      <c r="F21" s="127" t="s">
        <v>1434</v>
      </c>
      <c r="G21" s="127" t="s">
        <v>1435</v>
      </c>
      <c r="H21" s="127" t="s">
        <v>69</v>
      </c>
    </row>
    <row r="22" spans="1:8" ht="43.2" x14ac:dyDescent="0.3">
      <c r="A22" s="98" t="s">
        <v>1236</v>
      </c>
      <c r="B22" s="102">
        <v>1</v>
      </c>
      <c r="C22" s="102" t="s">
        <v>1436</v>
      </c>
      <c r="D22" s="102" t="s">
        <v>1437</v>
      </c>
      <c r="E22" s="102" t="s">
        <v>1438</v>
      </c>
      <c r="F22" s="102" t="s">
        <v>1439</v>
      </c>
      <c r="G22" s="102" t="s">
        <v>1440</v>
      </c>
      <c r="H22" s="102" t="s">
        <v>1441</v>
      </c>
    </row>
    <row r="23" spans="1:8" ht="28.8" x14ac:dyDescent="0.3">
      <c r="A23" s="98" t="s">
        <v>1243</v>
      </c>
      <c r="B23" s="102">
        <v>1</v>
      </c>
      <c r="C23" s="102" t="s">
        <v>1436</v>
      </c>
      <c r="D23" s="102" t="s">
        <v>1442</v>
      </c>
      <c r="E23" s="102" t="s">
        <v>1438</v>
      </c>
      <c r="F23" s="102" t="s">
        <v>1443</v>
      </c>
      <c r="G23" s="102" t="s">
        <v>1444</v>
      </c>
      <c r="H23" s="102" t="s">
        <v>1441</v>
      </c>
    </row>
    <row r="24" spans="1:8" ht="43.2" x14ac:dyDescent="0.3">
      <c r="A24" s="98" t="s">
        <v>1445</v>
      </c>
      <c r="B24" s="102">
        <v>1</v>
      </c>
      <c r="C24" s="102" t="s">
        <v>1446</v>
      </c>
      <c r="D24" s="102" t="s">
        <v>1447</v>
      </c>
      <c r="E24" s="102" t="s">
        <v>1448</v>
      </c>
      <c r="F24" s="102" t="s">
        <v>1449</v>
      </c>
      <c r="G24" s="102">
        <v>1475</v>
      </c>
      <c r="H24" s="102" t="s">
        <v>1450</v>
      </c>
    </row>
    <row r="25" spans="1:8" ht="28.8" x14ac:dyDescent="0.3">
      <c r="A25" s="98" t="s">
        <v>1451</v>
      </c>
      <c r="B25" s="102">
        <v>1</v>
      </c>
      <c r="C25" s="102" t="s">
        <v>1452</v>
      </c>
      <c r="D25" s="102" t="s">
        <v>192</v>
      </c>
      <c r="E25" s="102" t="s">
        <v>1453</v>
      </c>
      <c r="F25" s="102" t="s">
        <v>1454</v>
      </c>
      <c r="G25" s="102" t="s">
        <v>1444</v>
      </c>
      <c r="H25" s="102" t="s">
        <v>1455</v>
      </c>
    </row>
    <row r="26" spans="1:8" ht="43.2" x14ac:dyDescent="0.3">
      <c r="A26" s="98" t="s">
        <v>1456</v>
      </c>
      <c r="B26" s="102">
        <v>1</v>
      </c>
      <c r="C26" s="102" t="s">
        <v>1452</v>
      </c>
      <c r="D26" s="102" t="s">
        <v>192</v>
      </c>
      <c r="E26" s="102" t="s">
        <v>1453</v>
      </c>
      <c r="F26" s="102" t="s">
        <v>1457</v>
      </c>
      <c r="G26" s="102" t="s">
        <v>1444</v>
      </c>
      <c r="H26" s="102" t="s">
        <v>1455</v>
      </c>
    </row>
    <row r="27" spans="1:8" ht="28.8" x14ac:dyDescent="0.3">
      <c r="A27" s="98" t="s">
        <v>1458</v>
      </c>
      <c r="B27" s="102">
        <v>1</v>
      </c>
      <c r="C27" s="102" t="s">
        <v>1452</v>
      </c>
      <c r="D27" s="102" t="s">
        <v>192</v>
      </c>
      <c r="E27" s="102" t="s">
        <v>1453</v>
      </c>
      <c r="F27" s="102" t="s">
        <v>1459</v>
      </c>
      <c r="G27" s="102" t="s">
        <v>1444</v>
      </c>
      <c r="H27" s="102" t="s">
        <v>1455</v>
      </c>
    </row>
    <row r="28" spans="1:8" ht="43.2" x14ac:dyDescent="0.3">
      <c r="A28" s="98" t="s">
        <v>1460</v>
      </c>
      <c r="B28" s="102">
        <v>1</v>
      </c>
      <c r="C28" s="102" t="s">
        <v>1461</v>
      </c>
      <c r="D28" s="102" t="s">
        <v>1462</v>
      </c>
      <c r="E28" s="102" t="s">
        <v>1448</v>
      </c>
      <c r="F28" s="102" t="s">
        <v>1463</v>
      </c>
      <c r="G28" s="102">
        <v>1615</v>
      </c>
      <c r="H28" s="102" t="s">
        <v>1464</v>
      </c>
    </row>
    <row r="29" spans="1:8" x14ac:dyDescent="0.3">
      <c r="B29" s="54"/>
      <c r="C29" s="54"/>
      <c r="D29" s="54"/>
      <c r="E29" s="54"/>
      <c r="F29" s="54"/>
      <c r="G29" s="54"/>
      <c r="H29" s="54"/>
    </row>
    <row r="30" spans="1:8" ht="28.8" x14ac:dyDescent="0.3">
      <c r="A30" s="96" t="s">
        <v>1465</v>
      </c>
      <c r="B30" s="127" t="s">
        <v>1466</v>
      </c>
      <c r="C30" s="127" t="s">
        <v>1467</v>
      </c>
      <c r="D30" s="127" t="s">
        <v>1468</v>
      </c>
      <c r="E30" s="127" t="s">
        <v>1469</v>
      </c>
      <c r="F30" s="127" t="s">
        <v>1470</v>
      </c>
      <c r="G30" s="127" t="s">
        <v>1471</v>
      </c>
      <c r="H30" s="127" t="s">
        <v>1472</v>
      </c>
    </row>
    <row r="31" spans="1:8" ht="28.8" x14ac:dyDescent="0.3">
      <c r="A31" s="98">
        <v>101</v>
      </c>
      <c r="B31" s="102" t="s">
        <v>75</v>
      </c>
      <c r="C31" s="102">
        <v>1</v>
      </c>
      <c r="D31" s="102" t="s">
        <v>1473</v>
      </c>
      <c r="E31" s="102" t="s">
        <v>1474</v>
      </c>
      <c r="F31" s="102">
        <v>9947</v>
      </c>
      <c r="G31" s="102" t="s">
        <v>73</v>
      </c>
      <c r="H31" s="102" t="s">
        <v>1475</v>
      </c>
    </row>
    <row r="32" spans="1:8" ht="28.8" x14ac:dyDescent="0.3">
      <c r="A32" s="98">
        <v>102</v>
      </c>
      <c r="B32" s="102" t="s">
        <v>1476</v>
      </c>
      <c r="C32" s="102">
        <v>2</v>
      </c>
      <c r="D32" s="102" t="s">
        <v>1473</v>
      </c>
      <c r="E32" s="102" t="s">
        <v>1477</v>
      </c>
      <c r="F32" s="102">
        <v>4748</v>
      </c>
      <c r="G32" s="102" t="s">
        <v>385</v>
      </c>
      <c r="H32" s="102" t="s">
        <v>1475</v>
      </c>
    </row>
    <row r="33" spans="1:8" ht="28.8" x14ac:dyDescent="0.3">
      <c r="A33" s="98">
        <v>201</v>
      </c>
      <c r="B33" s="102" t="s">
        <v>1478</v>
      </c>
      <c r="C33" s="102">
        <v>1</v>
      </c>
      <c r="D33" s="102" t="s">
        <v>1473</v>
      </c>
      <c r="E33" s="102" t="s">
        <v>1479</v>
      </c>
      <c r="F33" s="102">
        <v>789</v>
      </c>
      <c r="G33" s="102" t="s">
        <v>1480</v>
      </c>
      <c r="H33" s="102" t="s">
        <v>1481</v>
      </c>
    </row>
    <row r="34" spans="1:8" ht="28.8" x14ac:dyDescent="0.3">
      <c r="A34" s="98">
        <v>202</v>
      </c>
      <c r="B34" s="102" t="s">
        <v>1482</v>
      </c>
      <c r="C34" s="102">
        <v>1</v>
      </c>
      <c r="D34" s="102" t="s">
        <v>1483</v>
      </c>
      <c r="E34" s="102" t="s">
        <v>1484</v>
      </c>
      <c r="F34" s="102">
        <v>448</v>
      </c>
      <c r="G34" s="102" t="s">
        <v>1485</v>
      </c>
      <c r="H34" s="102" t="s">
        <v>1481</v>
      </c>
    </row>
    <row r="35" spans="1:8" ht="28.8" x14ac:dyDescent="0.3">
      <c r="A35" s="98">
        <v>203</v>
      </c>
      <c r="B35" s="102" t="s">
        <v>776</v>
      </c>
      <c r="C35" s="102">
        <v>32</v>
      </c>
      <c r="D35" s="102" t="s">
        <v>1483</v>
      </c>
      <c r="E35" s="102" t="s">
        <v>1486</v>
      </c>
      <c r="F35" s="102">
        <v>69</v>
      </c>
      <c r="G35" s="102" t="s">
        <v>1487</v>
      </c>
      <c r="H35" s="102" t="s">
        <v>1481</v>
      </c>
    </row>
    <row r="36" spans="1:8" x14ac:dyDescent="0.3">
      <c r="A36" s="98">
        <v>204</v>
      </c>
      <c r="B36" s="102" t="s">
        <v>1488</v>
      </c>
      <c r="C36" s="102">
        <v>2</v>
      </c>
      <c r="D36" s="102" t="s">
        <v>324</v>
      </c>
      <c r="E36" s="102" t="s">
        <v>1489</v>
      </c>
      <c r="F36" s="102">
        <v>1</v>
      </c>
      <c r="G36" s="102" t="s">
        <v>1490</v>
      </c>
      <c r="H36" s="102" t="s">
        <v>1481</v>
      </c>
    </row>
    <row r="37" spans="1:8" x14ac:dyDescent="0.3">
      <c r="A37" s="98">
        <v>205</v>
      </c>
      <c r="B37" s="102" t="s">
        <v>1491</v>
      </c>
      <c r="C37" s="102">
        <v>1</v>
      </c>
      <c r="D37" s="102" t="s">
        <v>311</v>
      </c>
      <c r="E37" s="102" t="s">
        <v>1492</v>
      </c>
      <c r="F37" s="102">
        <v>5.2</v>
      </c>
      <c r="G37" s="102" t="s">
        <v>387</v>
      </c>
      <c r="H37" s="102" t="s">
        <v>1481</v>
      </c>
    </row>
    <row r="38" spans="1:8" ht="28.8" x14ac:dyDescent="0.3">
      <c r="A38" s="98" t="s">
        <v>1493</v>
      </c>
      <c r="B38" s="102" t="s">
        <v>1494</v>
      </c>
      <c r="C38" s="102">
        <v>1</v>
      </c>
      <c r="D38" s="102" t="s">
        <v>1473</v>
      </c>
      <c r="E38" s="102" t="s">
        <v>1495</v>
      </c>
      <c r="F38" s="102">
        <v>5.9</v>
      </c>
      <c r="G38" s="102" t="s">
        <v>1496</v>
      </c>
      <c r="H38" s="102" t="s">
        <v>1497</v>
      </c>
    </row>
    <row r="39" spans="1:8" x14ac:dyDescent="0.3">
      <c r="A39" s="98">
        <v>206</v>
      </c>
      <c r="B39" s="102" t="s">
        <v>1498</v>
      </c>
      <c r="C39" s="102">
        <v>1</v>
      </c>
      <c r="D39" s="102" t="s">
        <v>311</v>
      </c>
      <c r="E39" s="102" t="s">
        <v>1499</v>
      </c>
      <c r="F39" s="102">
        <v>2</v>
      </c>
      <c r="G39" s="102" t="s">
        <v>387</v>
      </c>
      <c r="H39" s="102" t="s">
        <v>1481</v>
      </c>
    </row>
    <row r="40" spans="1:8" ht="28.8" x14ac:dyDescent="0.3">
      <c r="A40" s="98">
        <v>207</v>
      </c>
      <c r="B40" s="102" t="s">
        <v>1500</v>
      </c>
      <c r="C40" s="102">
        <v>1</v>
      </c>
      <c r="D40" s="102" t="s">
        <v>1501</v>
      </c>
      <c r="E40" s="102" t="s">
        <v>1502</v>
      </c>
      <c r="F40" s="102">
        <v>7.4</v>
      </c>
      <c r="G40" s="102" t="s">
        <v>83</v>
      </c>
      <c r="H40" s="102" t="s">
        <v>1503</v>
      </c>
    </row>
    <row r="41" spans="1:8" ht="28.8" x14ac:dyDescent="0.3">
      <c r="A41" s="98">
        <v>208</v>
      </c>
      <c r="B41" s="102" t="s">
        <v>1504</v>
      </c>
      <c r="C41" s="102">
        <v>1</v>
      </c>
      <c r="D41" s="102" t="s">
        <v>1505</v>
      </c>
      <c r="E41" s="102" t="s">
        <v>1506</v>
      </c>
      <c r="F41" s="102">
        <v>0.4</v>
      </c>
      <c r="G41" s="102" t="s">
        <v>1507</v>
      </c>
      <c r="H41" s="102" t="s">
        <v>1481</v>
      </c>
    </row>
    <row r="42" spans="1:8" ht="28.8" x14ac:dyDescent="0.3">
      <c r="A42" s="98">
        <v>209</v>
      </c>
      <c r="B42" s="102" t="s">
        <v>1500</v>
      </c>
      <c r="C42" s="102">
        <v>1</v>
      </c>
      <c r="D42" s="102" t="s">
        <v>1501</v>
      </c>
      <c r="E42" s="102" t="s">
        <v>1508</v>
      </c>
      <c r="F42" s="102">
        <v>0.8</v>
      </c>
      <c r="G42" s="102" t="s">
        <v>83</v>
      </c>
      <c r="H42" s="102" t="s">
        <v>1503</v>
      </c>
    </row>
    <row r="43" spans="1:8" ht="28.8" x14ac:dyDescent="0.3">
      <c r="A43" s="98">
        <v>210</v>
      </c>
      <c r="B43" s="102" t="s">
        <v>1509</v>
      </c>
      <c r="C43" s="102">
        <v>1</v>
      </c>
      <c r="D43" s="102" t="s">
        <v>1473</v>
      </c>
      <c r="E43" s="102" t="s">
        <v>1510</v>
      </c>
      <c r="F43" s="102"/>
      <c r="G43" s="102" t="s">
        <v>1511</v>
      </c>
      <c r="H43" s="102" t="s">
        <v>1512</v>
      </c>
    </row>
    <row r="44" spans="1:8" ht="28.8" x14ac:dyDescent="0.3">
      <c r="A44" s="98">
        <v>211</v>
      </c>
      <c r="B44" s="102" t="s">
        <v>1513</v>
      </c>
      <c r="C44" s="102">
        <v>1</v>
      </c>
      <c r="D44" s="102" t="s">
        <v>1514</v>
      </c>
      <c r="E44" s="102" t="s">
        <v>1515</v>
      </c>
      <c r="F44" s="102">
        <v>6.3</v>
      </c>
      <c r="G44" s="102" t="s">
        <v>1516</v>
      </c>
      <c r="H44" s="102" t="s">
        <v>1481</v>
      </c>
    </row>
    <row r="45" spans="1:8" ht="28.8" x14ac:dyDescent="0.3">
      <c r="A45" s="98">
        <v>212</v>
      </c>
      <c r="B45" s="102" t="s">
        <v>1517</v>
      </c>
      <c r="C45" s="102">
        <v>3</v>
      </c>
      <c r="D45" s="102" t="s">
        <v>1473</v>
      </c>
      <c r="E45" s="102" t="s">
        <v>1518</v>
      </c>
      <c r="F45" s="102">
        <v>0.6</v>
      </c>
      <c r="G45" s="102" t="s">
        <v>1511</v>
      </c>
      <c r="H45" s="102" t="s">
        <v>1481</v>
      </c>
    </row>
    <row r="46" spans="1:8" x14ac:dyDescent="0.3">
      <c r="A46" s="98">
        <v>213</v>
      </c>
      <c r="B46" s="102" t="s">
        <v>1519</v>
      </c>
      <c r="C46" s="102">
        <v>1</v>
      </c>
      <c r="D46" s="102" t="s">
        <v>311</v>
      </c>
      <c r="E46" s="102" t="s">
        <v>1520</v>
      </c>
      <c r="F46" s="102">
        <v>19</v>
      </c>
      <c r="G46" s="102" t="s">
        <v>387</v>
      </c>
      <c r="H46" s="102" t="s">
        <v>1481</v>
      </c>
    </row>
    <row r="47" spans="1:8" ht="28.8" x14ac:dyDescent="0.3">
      <c r="A47" s="98">
        <v>214</v>
      </c>
      <c r="B47" s="102" t="s">
        <v>1521</v>
      </c>
      <c r="C47" s="102">
        <v>1</v>
      </c>
      <c r="D47" s="102" t="s">
        <v>1522</v>
      </c>
      <c r="E47" s="102" t="s">
        <v>1523</v>
      </c>
      <c r="F47" s="102">
        <v>29</v>
      </c>
      <c r="G47" s="102" t="s">
        <v>1524</v>
      </c>
      <c r="H47" s="102" t="s">
        <v>1481</v>
      </c>
    </row>
    <row r="48" spans="1:8" x14ac:dyDescent="0.3">
      <c r="A48" s="98">
        <v>215</v>
      </c>
      <c r="B48" s="102" t="s">
        <v>1525</v>
      </c>
      <c r="C48" s="102">
        <v>2</v>
      </c>
      <c r="D48" s="102" t="s">
        <v>311</v>
      </c>
      <c r="E48" s="102" t="s">
        <v>1526</v>
      </c>
      <c r="F48" s="102">
        <v>1.5</v>
      </c>
      <c r="G48" s="102" t="s">
        <v>1527</v>
      </c>
      <c r="H48" s="102" t="s">
        <v>1481</v>
      </c>
    </row>
    <row r="49" spans="1:8" x14ac:dyDescent="0.3">
      <c r="A49" s="98">
        <v>216</v>
      </c>
      <c r="B49" s="102" t="s">
        <v>1528</v>
      </c>
      <c r="C49" s="102">
        <v>1</v>
      </c>
      <c r="D49" s="102" t="s">
        <v>311</v>
      </c>
      <c r="E49" s="102" t="s">
        <v>1529</v>
      </c>
      <c r="F49" s="102">
        <v>192</v>
      </c>
      <c r="G49" s="102" t="s">
        <v>387</v>
      </c>
      <c r="H49" s="102" t="s">
        <v>1481</v>
      </c>
    </row>
    <row r="50" spans="1:8" ht="28.8" x14ac:dyDescent="0.3">
      <c r="A50" s="98">
        <v>217</v>
      </c>
      <c r="B50" s="102" t="s">
        <v>1530</v>
      </c>
      <c r="C50" s="102">
        <v>1</v>
      </c>
      <c r="D50" s="102" t="s">
        <v>1522</v>
      </c>
      <c r="E50" s="102" t="s">
        <v>1523</v>
      </c>
      <c r="F50" s="102">
        <v>288</v>
      </c>
      <c r="G50" s="102" t="s">
        <v>1524</v>
      </c>
      <c r="H50" s="102" t="s">
        <v>1481</v>
      </c>
    </row>
    <row r="51" spans="1:8" x14ac:dyDescent="0.3">
      <c r="A51" s="98">
        <v>218</v>
      </c>
      <c r="B51" s="102" t="s">
        <v>1531</v>
      </c>
      <c r="C51" s="102">
        <v>1</v>
      </c>
      <c r="D51" s="102" t="s">
        <v>311</v>
      </c>
      <c r="E51" s="102" t="s">
        <v>1532</v>
      </c>
      <c r="F51" s="102">
        <v>181</v>
      </c>
      <c r="G51" s="102" t="s">
        <v>1533</v>
      </c>
      <c r="H51" s="102" t="s">
        <v>1481</v>
      </c>
    </row>
    <row r="52" spans="1:8" ht="86.4" x14ac:dyDescent="0.3">
      <c r="A52" s="98">
        <v>219</v>
      </c>
      <c r="B52" s="102" t="s">
        <v>1534</v>
      </c>
      <c r="C52" s="102">
        <v>1</v>
      </c>
      <c r="D52" s="102" t="s">
        <v>1535</v>
      </c>
      <c r="E52" s="102" t="s">
        <v>1536</v>
      </c>
      <c r="F52" s="102"/>
      <c r="G52" s="102" t="s">
        <v>396</v>
      </c>
      <c r="H52" s="102" t="s">
        <v>1537</v>
      </c>
    </row>
    <row r="53" spans="1:8" ht="43.2" x14ac:dyDescent="0.3">
      <c r="A53" s="98">
        <v>220</v>
      </c>
      <c r="B53" s="102" t="s">
        <v>1538</v>
      </c>
      <c r="C53" s="102">
        <v>24</v>
      </c>
      <c r="D53" s="102" t="s">
        <v>1539</v>
      </c>
      <c r="E53" s="102" t="s">
        <v>1540</v>
      </c>
      <c r="F53" s="102">
        <v>44</v>
      </c>
      <c r="G53" s="102" t="s">
        <v>98</v>
      </c>
      <c r="H53" s="102" t="s">
        <v>1481</v>
      </c>
    </row>
    <row r="54" spans="1:8" ht="28.8" x14ac:dyDescent="0.3">
      <c r="A54" s="98">
        <v>221</v>
      </c>
      <c r="B54" s="102" t="s">
        <v>1541</v>
      </c>
      <c r="C54" s="102">
        <v>1</v>
      </c>
      <c r="D54" s="102" t="s">
        <v>1473</v>
      </c>
      <c r="E54" s="102" t="s">
        <v>1542</v>
      </c>
      <c r="F54" s="102">
        <v>2.5</v>
      </c>
      <c r="G54" s="102" t="s">
        <v>1543</v>
      </c>
      <c r="H54" s="102" t="s">
        <v>1481</v>
      </c>
    </row>
    <row r="55" spans="1:8" ht="28.8" x14ac:dyDescent="0.3">
      <c r="A55" s="98">
        <v>222</v>
      </c>
      <c r="B55" s="102" t="s">
        <v>1544</v>
      </c>
      <c r="C55" s="102">
        <v>1</v>
      </c>
      <c r="D55" s="102" t="s">
        <v>1483</v>
      </c>
      <c r="E55" s="102" t="s">
        <v>1545</v>
      </c>
      <c r="F55" s="102">
        <v>2</v>
      </c>
      <c r="G55" s="102" t="s">
        <v>1546</v>
      </c>
      <c r="H55" s="102" t="s">
        <v>1481</v>
      </c>
    </row>
    <row r="56" spans="1:8" ht="28.8" x14ac:dyDescent="0.3">
      <c r="A56" s="98">
        <v>223</v>
      </c>
      <c r="B56" s="102" t="s">
        <v>707</v>
      </c>
      <c r="C56" s="102">
        <v>1</v>
      </c>
      <c r="D56" s="102" t="s">
        <v>1547</v>
      </c>
      <c r="E56" s="102" t="s">
        <v>1548</v>
      </c>
      <c r="F56" s="102">
        <v>0.03</v>
      </c>
      <c r="G56" s="102" t="s">
        <v>1549</v>
      </c>
      <c r="H56" s="102" t="s">
        <v>1550</v>
      </c>
    </row>
    <row r="57" spans="1:8" ht="28.8" x14ac:dyDescent="0.3">
      <c r="A57" s="98">
        <v>224</v>
      </c>
      <c r="B57" s="102" t="s">
        <v>702</v>
      </c>
      <c r="C57" s="102">
        <v>1</v>
      </c>
      <c r="D57" s="102" t="s">
        <v>1551</v>
      </c>
      <c r="E57" s="102" t="s">
        <v>1552</v>
      </c>
      <c r="F57" s="102"/>
      <c r="G57" s="102" t="s">
        <v>1553</v>
      </c>
      <c r="H57" s="102" t="s">
        <v>1554</v>
      </c>
    </row>
    <row r="58" spans="1:8" ht="28.8" x14ac:dyDescent="0.3">
      <c r="A58" s="98">
        <v>225</v>
      </c>
      <c r="B58" s="102" t="s">
        <v>1555</v>
      </c>
      <c r="C58" s="102">
        <v>1</v>
      </c>
      <c r="D58" s="102" t="s">
        <v>1551</v>
      </c>
      <c r="E58" s="102" t="s">
        <v>1552</v>
      </c>
      <c r="F58" s="102"/>
      <c r="G58" s="102" t="s">
        <v>1553</v>
      </c>
      <c r="H58" s="102" t="s">
        <v>1554</v>
      </c>
    </row>
    <row r="59" spans="1:8" ht="57.6" x14ac:dyDescent="0.3">
      <c r="A59" s="98">
        <v>226</v>
      </c>
      <c r="B59" s="102" t="s">
        <v>1556</v>
      </c>
      <c r="C59" s="102">
        <v>1</v>
      </c>
      <c r="D59" s="102" t="s">
        <v>1557</v>
      </c>
      <c r="E59" s="102" t="s">
        <v>1558</v>
      </c>
      <c r="F59" s="102">
        <v>1.8</v>
      </c>
      <c r="G59" s="102" t="s">
        <v>1516</v>
      </c>
      <c r="H59" s="102" t="s">
        <v>1559</v>
      </c>
    </row>
    <row r="60" spans="1:8" ht="28.8" x14ac:dyDescent="0.3">
      <c r="A60" s="98">
        <v>227</v>
      </c>
      <c r="B60" s="102" t="s">
        <v>1560</v>
      </c>
      <c r="C60" s="102">
        <v>1</v>
      </c>
      <c r="D60" s="102" t="s">
        <v>1514</v>
      </c>
      <c r="E60" s="102" t="s">
        <v>1561</v>
      </c>
      <c r="F60" s="102">
        <v>7.5</v>
      </c>
      <c r="G60" s="102" t="s">
        <v>1562</v>
      </c>
      <c r="H60" s="102" t="s">
        <v>1481</v>
      </c>
    </row>
    <row r="61" spans="1:8" ht="28.8" x14ac:dyDescent="0.3">
      <c r="A61" s="98">
        <v>228</v>
      </c>
      <c r="B61" s="102" t="s">
        <v>1563</v>
      </c>
      <c r="C61" s="102">
        <v>1</v>
      </c>
      <c r="D61" s="102" t="s">
        <v>1473</v>
      </c>
      <c r="E61" s="102" t="s">
        <v>1564</v>
      </c>
      <c r="F61" s="102">
        <v>0.2</v>
      </c>
      <c r="G61" s="102" t="s">
        <v>1565</v>
      </c>
      <c r="H61" s="102" t="s">
        <v>1481</v>
      </c>
    </row>
    <row r="62" spans="1:8" ht="28.8" x14ac:dyDescent="0.3">
      <c r="A62" s="98">
        <v>229</v>
      </c>
      <c r="B62" s="102" t="s">
        <v>1566</v>
      </c>
      <c r="C62" s="102">
        <v>1</v>
      </c>
      <c r="D62" s="102" t="s">
        <v>1473</v>
      </c>
      <c r="E62" s="102" t="s">
        <v>1567</v>
      </c>
      <c r="F62" s="102">
        <v>0.3</v>
      </c>
      <c r="G62" s="102" t="s">
        <v>1565</v>
      </c>
      <c r="H62" s="102" t="s">
        <v>1481</v>
      </c>
    </row>
    <row r="63" spans="1:8" x14ac:dyDescent="0.3">
      <c r="A63" s="98">
        <v>230</v>
      </c>
      <c r="B63" s="102" t="s">
        <v>1568</v>
      </c>
      <c r="C63" s="102">
        <v>1</v>
      </c>
      <c r="D63" s="102" t="s">
        <v>1569</v>
      </c>
      <c r="E63" s="102" t="s">
        <v>1570</v>
      </c>
      <c r="F63" s="102"/>
      <c r="G63" s="102" t="s">
        <v>1571</v>
      </c>
      <c r="H63" s="102" t="s">
        <v>1572</v>
      </c>
    </row>
    <row r="64" spans="1:8" ht="28.8" x14ac:dyDescent="0.3">
      <c r="A64" s="98">
        <v>231</v>
      </c>
      <c r="B64" s="102" t="s">
        <v>1573</v>
      </c>
      <c r="C64" s="102">
        <v>1</v>
      </c>
      <c r="D64" s="102" t="s">
        <v>1473</v>
      </c>
      <c r="E64" s="102" t="s">
        <v>1574</v>
      </c>
      <c r="F64" s="102">
        <v>0.9</v>
      </c>
      <c r="G64" s="102" t="s">
        <v>1575</v>
      </c>
      <c r="H64" s="102" t="s">
        <v>1481</v>
      </c>
    </row>
    <row r="65" spans="1:8" x14ac:dyDescent="0.3">
      <c r="A65" s="98">
        <v>232</v>
      </c>
      <c r="B65" s="102" t="s">
        <v>1576</v>
      </c>
      <c r="C65" s="102">
        <v>1</v>
      </c>
      <c r="D65" s="102" t="s">
        <v>322</v>
      </c>
      <c r="E65" s="102" t="s">
        <v>1577</v>
      </c>
      <c r="F65" s="102">
        <v>3.2</v>
      </c>
      <c r="G65" s="102" t="s">
        <v>1578</v>
      </c>
      <c r="H65" s="102" t="s">
        <v>1579</v>
      </c>
    </row>
    <row r="66" spans="1:8" ht="28.8" x14ac:dyDescent="0.3">
      <c r="A66" s="98">
        <v>233</v>
      </c>
      <c r="B66" s="102" t="s">
        <v>1580</v>
      </c>
      <c r="C66" s="102">
        <v>2</v>
      </c>
      <c r="D66" s="102" t="s">
        <v>1473</v>
      </c>
      <c r="E66" s="102" t="s">
        <v>1581</v>
      </c>
      <c r="F66" s="102">
        <v>2</v>
      </c>
      <c r="G66" s="102" t="s">
        <v>1582</v>
      </c>
      <c r="H66" s="102" t="s">
        <v>1481</v>
      </c>
    </row>
    <row r="67" spans="1:8" x14ac:dyDescent="0.3">
      <c r="A67" s="98">
        <v>234</v>
      </c>
      <c r="B67" s="102" t="s">
        <v>1583</v>
      </c>
      <c r="C67" s="102">
        <v>3</v>
      </c>
      <c r="D67" s="102" t="s">
        <v>324</v>
      </c>
      <c r="E67" s="102" t="s">
        <v>1584</v>
      </c>
      <c r="F67" s="102">
        <v>0.8</v>
      </c>
      <c r="G67" s="102" t="s">
        <v>1585</v>
      </c>
      <c r="H67" s="102" t="s">
        <v>1481</v>
      </c>
    </row>
    <row r="68" spans="1:8" ht="28.8" x14ac:dyDescent="0.3">
      <c r="A68" s="98" t="s">
        <v>1586</v>
      </c>
      <c r="B68" s="102" t="s">
        <v>1587</v>
      </c>
      <c r="C68" s="102">
        <v>1</v>
      </c>
      <c r="D68" s="102" t="s">
        <v>1473</v>
      </c>
      <c r="E68" s="102" t="s">
        <v>1588</v>
      </c>
      <c r="F68" s="102">
        <v>21</v>
      </c>
      <c r="G68" s="102" t="s">
        <v>1589</v>
      </c>
      <c r="H68" s="102" t="s">
        <v>1590</v>
      </c>
    </row>
    <row r="69" spans="1:8" ht="28.8" x14ac:dyDescent="0.3">
      <c r="A69" s="98" t="s">
        <v>1591</v>
      </c>
      <c r="B69" s="102" t="s">
        <v>1592</v>
      </c>
      <c r="C69" s="102">
        <v>1</v>
      </c>
      <c r="D69" s="102" t="s">
        <v>1473</v>
      </c>
      <c r="E69" s="102" t="s">
        <v>1593</v>
      </c>
      <c r="F69" s="102">
        <v>8</v>
      </c>
      <c r="G69" s="102" t="s">
        <v>1589</v>
      </c>
      <c r="H69" s="102" t="s">
        <v>1590</v>
      </c>
    </row>
    <row r="70" spans="1:8" ht="28.8" x14ac:dyDescent="0.3">
      <c r="A70" s="98">
        <v>236</v>
      </c>
      <c r="B70" s="102" t="s">
        <v>1594</v>
      </c>
      <c r="C70" s="102">
        <v>4</v>
      </c>
      <c r="D70" s="102" t="s">
        <v>1514</v>
      </c>
      <c r="E70" s="102" t="s">
        <v>1595</v>
      </c>
      <c r="F70" s="102">
        <v>10.199999999999999</v>
      </c>
      <c r="G70" s="102" t="s">
        <v>83</v>
      </c>
      <c r="H70" s="102" t="s">
        <v>1481</v>
      </c>
    </row>
    <row r="71" spans="1:8" ht="28.8" x14ac:dyDescent="0.3">
      <c r="A71" s="98">
        <v>237</v>
      </c>
      <c r="B71" s="102" t="s">
        <v>1596</v>
      </c>
      <c r="C71" s="102">
        <v>2</v>
      </c>
      <c r="D71" s="102" t="s">
        <v>1473</v>
      </c>
      <c r="E71" s="102" t="s">
        <v>1597</v>
      </c>
      <c r="F71" s="102">
        <v>17</v>
      </c>
      <c r="G71" s="102" t="s">
        <v>1598</v>
      </c>
      <c r="H71" s="102" t="s">
        <v>1481</v>
      </c>
    </row>
    <row r="72" spans="1:8" ht="28.8" x14ac:dyDescent="0.3">
      <c r="A72" s="98">
        <v>238</v>
      </c>
      <c r="B72" s="102" t="s">
        <v>763</v>
      </c>
      <c r="C72" s="102">
        <v>2</v>
      </c>
      <c r="D72" s="102" t="s">
        <v>1473</v>
      </c>
      <c r="E72" s="102" t="s">
        <v>1599</v>
      </c>
      <c r="F72" s="102">
        <v>79</v>
      </c>
      <c r="G72" s="102" t="s">
        <v>1600</v>
      </c>
      <c r="H72" s="102" t="s">
        <v>1601</v>
      </c>
    </row>
    <row r="73" spans="1:8" ht="28.8" x14ac:dyDescent="0.3">
      <c r="A73" s="98">
        <v>239</v>
      </c>
      <c r="B73" s="102" t="s">
        <v>780</v>
      </c>
      <c r="C73" s="102">
        <v>2</v>
      </c>
      <c r="D73" s="102" t="s">
        <v>1473</v>
      </c>
      <c r="E73" s="102" t="s">
        <v>1602</v>
      </c>
      <c r="F73" s="102">
        <v>5</v>
      </c>
      <c r="G73" s="102" t="s">
        <v>1603</v>
      </c>
      <c r="H73" s="102" t="s">
        <v>1604</v>
      </c>
    </row>
    <row r="74" spans="1:8" ht="28.8" x14ac:dyDescent="0.3">
      <c r="A74" s="98">
        <v>240</v>
      </c>
      <c r="B74" s="102" t="s">
        <v>1605</v>
      </c>
      <c r="C74" s="102">
        <v>1</v>
      </c>
      <c r="D74" s="102" t="s">
        <v>1473</v>
      </c>
      <c r="E74" s="102" t="s">
        <v>1606</v>
      </c>
      <c r="F74" s="102">
        <v>17.8</v>
      </c>
      <c r="G74" s="102" t="s">
        <v>1607</v>
      </c>
      <c r="H74" s="102" t="s">
        <v>1481</v>
      </c>
    </row>
    <row r="75" spans="1:8" ht="28.8" x14ac:dyDescent="0.3">
      <c r="A75" s="98">
        <v>241</v>
      </c>
      <c r="B75" s="102" t="s">
        <v>1608</v>
      </c>
      <c r="C75" s="102">
        <v>1</v>
      </c>
      <c r="D75" s="102" t="s">
        <v>1473</v>
      </c>
      <c r="E75" s="102" t="s">
        <v>1609</v>
      </c>
      <c r="F75" s="102">
        <v>2.63</v>
      </c>
      <c r="G75" s="102" t="s">
        <v>1610</v>
      </c>
      <c r="H75" s="102" t="s">
        <v>1481</v>
      </c>
    </row>
    <row r="76" spans="1:8" x14ac:dyDescent="0.3">
      <c r="A76" s="98">
        <v>242</v>
      </c>
      <c r="B76" s="102" t="s">
        <v>484</v>
      </c>
      <c r="C76" s="102">
        <v>1</v>
      </c>
      <c r="D76" s="102" t="s">
        <v>324</v>
      </c>
      <c r="E76" s="102" t="s">
        <v>1611</v>
      </c>
      <c r="F76" s="102">
        <v>0.75</v>
      </c>
      <c r="G76" s="102" t="s">
        <v>1612</v>
      </c>
      <c r="H76" s="102" t="s">
        <v>1481</v>
      </c>
    </row>
    <row r="77" spans="1:8" ht="28.8" x14ac:dyDescent="0.3">
      <c r="A77" s="98">
        <v>243</v>
      </c>
      <c r="B77" s="102" t="s">
        <v>1613</v>
      </c>
      <c r="C77" s="102">
        <v>16</v>
      </c>
      <c r="D77" s="102" t="s">
        <v>1614</v>
      </c>
      <c r="E77" s="102" t="s">
        <v>1615</v>
      </c>
      <c r="F77" s="102">
        <v>40</v>
      </c>
      <c r="G77" s="102" t="s">
        <v>1616</v>
      </c>
      <c r="H77" s="102" t="s">
        <v>1481</v>
      </c>
    </row>
    <row r="78" spans="1:8" x14ac:dyDescent="0.3">
      <c r="A78" s="98">
        <v>244</v>
      </c>
      <c r="B78" s="102" t="s">
        <v>1617</v>
      </c>
      <c r="C78" s="102">
        <v>1</v>
      </c>
      <c r="D78" s="102" t="s">
        <v>311</v>
      </c>
      <c r="E78" s="102" t="s">
        <v>1526</v>
      </c>
      <c r="F78" s="102">
        <v>1</v>
      </c>
      <c r="G78" s="102" t="s">
        <v>1527</v>
      </c>
      <c r="H78" s="102" t="s">
        <v>1618</v>
      </c>
    </row>
  </sheetData>
  <mergeCells count="2">
    <mergeCell ref="A1:H1"/>
    <mergeCell ref="A2:H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75EE-5567-458E-838A-E5358FB15DDC}">
  <dimension ref="A1:H33"/>
  <sheetViews>
    <sheetView workbookViewId="0">
      <selection activeCell="A13" sqref="A13:C32"/>
    </sheetView>
  </sheetViews>
  <sheetFormatPr defaultRowHeight="14.4" x14ac:dyDescent="0.3"/>
  <cols>
    <col min="1" max="1" width="33.33203125" customWidth="1"/>
    <col min="2" max="4" width="40.77734375" customWidth="1"/>
  </cols>
  <sheetData>
    <row r="1" spans="1:8" x14ac:dyDescent="0.3">
      <c r="A1" s="136" t="s">
        <v>2128</v>
      </c>
      <c r="B1" s="136"/>
      <c r="C1" s="136"/>
      <c r="D1" s="136"/>
      <c r="E1" s="94"/>
      <c r="F1" s="94"/>
      <c r="G1" s="94"/>
      <c r="H1" s="94"/>
    </row>
    <row r="2" spans="1:8" x14ac:dyDescent="0.3">
      <c r="A2" s="126" t="s">
        <v>2129</v>
      </c>
      <c r="B2" s="126"/>
      <c r="C2" s="126"/>
      <c r="D2" s="126"/>
      <c r="E2" s="125"/>
      <c r="F2" s="125"/>
      <c r="G2" s="125"/>
      <c r="H2" s="125"/>
    </row>
    <row r="3" spans="1:8" x14ac:dyDescent="0.3">
      <c r="A3" s="54"/>
      <c r="B3" s="54"/>
      <c r="C3" s="54"/>
      <c r="D3" s="54"/>
    </row>
    <row r="4" spans="1:8" x14ac:dyDescent="0.3">
      <c r="A4" s="127" t="s">
        <v>623</v>
      </c>
      <c r="B4" s="127" t="s">
        <v>624</v>
      </c>
      <c r="C4" s="54"/>
      <c r="D4" s="54"/>
    </row>
    <row r="5" spans="1:8" x14ac:dyDescent="0.3">
      <c r="A5" s="102" t="s">
        <v>2130</v>
      </c>
      <c r="B5" s="102">
        <f>COUNTA('PV Drawing Basis'!A31:A78)</f>
        <v>48</v>
      </c>
      <c r="C5" s="54"/>
      <c r="D5" s="54"/>
    </row>
    <row r="6" spans="1:8" x14ac:dyDescent="0.3">
      <c r="A6" s="102" t="s">
        <v>2131</v>
      </c>
      <c r="B6" s="102">
        <f>COUNTIF('Parts Master'!A5:A309,"PV DRAWING SOURCE")</f>
        <v>30</v>
      </c>
      <c r="C6" s="54"/>
      <c r="D6" s="54"/>
    </row>
    <row r="7" spans="1:8" x14ac:dyDescent="0.3">
      <c r="A7" s="102" t="s">
        <v>2132</v>
      </c>
      <c r="B7" s="102">
        <v>6</v>
      </c>
      <c r="C7" s="54"/>
      <c r="D7" s="54"/>
    </row>
    <row r="8" spans="1:8" x14ac:dyDescent="0.3">
      <c r="A8" s="102" t="s">
        <v>2133</v>
      </c>
      <c r="B8" s="102">
        <f>COUNTIF('Part Routes'!A5:A336,"PV DRAWING SOURCE")</f>
        <v>155</v>
      </c>
      <c r="C8" s="54"/>
      <c r="D8" s="54"/>
    </row>
    <row r="9" spans="1:8" x14ac:dyDescent="0.3">
      <c r="A9" s="102" t="s">
        <v>2134</v>
      </c>
      <c r="B9" s="102">
        <f>COUNTIF('Assembly Sequence'!A5:A317,"PV DRAWING SOURCE")</f>
        <v>31</v>
      </c>
      <c r="C9" s="54"/>
      <c r="D9" s="54"/>
    </row>
    <row r="10" spans="1:8" x14ac:dyDescent="0.3">
      <c r="A10" s="102" t="s">
        <v>2135</v>
      </c>
      <c r="B10" s="102">
        <f>COUNTIFS('Part Routes'!A5:A336,"PV DRAWING SOURCE",'Part Routes'!I5:I336,"")</f>
        <v>0</v>
      </c>
      <c r="C10" s="54"/>
      <c r="D10" s="54"/>
    </row>
    <row r="11" spans="1:8" x14ac:dyDescent="0.3">
      <c r="A11" s="102" t="s">
        <v>2136</v>
      </c>
      <c r="B11" s="102">
        <f>COUNTIFS('Part Routes'!A5:A336,"PV DRAWING SOURCE",'Part Routes'!K5:K336,"")</f>
        <v>0</v>
      </c>
      <c r="C11" s="54"/>
      <c r="D11" s="54"/>
    </row>
    <row r="12" spans="1:8" x14ac:dyDescent="0.3">
      <c r="A12" s="102" t="s">
        <v>2137</v>
      </c>
      <c r="B12" s="102">
        <f>COUNTIFS('Review Actions'!A5:A60,"PV-*",'Review Actions'!G5:G60,"Open")</f>
        <v>8</v>
      </c>
      <c r="C12" s="54"/>
      <c r="D12" s="54"/>
    </row>
    <row r="13" spans="1:8" x14ac:dyDescent="0.3">
      <c r="A13" s="102" t="s">
        <v>2138</v>
      </c>
      <c r="B13" s="102">
        <f>COUNTIFS('Parts Master'!A5:A309,"PV DRAWING SOURCE",'Parts Master'!P5:P309,"Approved by Production Head")</f>
        <v>0</v>
      </c>
      <c r="C13" s="54"/>
      <c r="D13" s="54"/>
    </row>
    <row r="14" spans="1:8" x14ac:dyDescent="0.3">
      <c r="A14" s="102" t="s">
        <v>632</v>
      </c>
      <c r="B14" s="137" t="s">
        <v>1387</v>
      </c>
      <c r="C14" s="54"/>
      <c r="D14" s="54"/>
    </row>
    <row r="15" spans="1:8" x14ac:dyDescent="0.3">
      <c r="A15" s="54"/>
      <c r="B15" s="54"/>
      <c r="C15" s="54"/>
      <c r="D15" s="54"/>
    </row>
    <row r="16" spans="1:8" x14ac:dyDescent="0.3">
      <c r="A16" s="127" t="s">
        <v>2139</v>
      </c>
      <c r="B16" s="127" t="s">
        <v>915</v>
      </c>
      <c r="C16" s="127" t="s">
        <v>2140</v>
      </c>
      <c r="D16" s="127" t="s">
        <v>2141</v>
      </c>
    </row>
    <row r="17" spans="1:4" x14ac:dyDescent="0.3">
      <c r="A17" s="102" t="s">
        <v>2142</v>
      </c>
      <c r="B17" s="102" t="s">
        <v>2143</v>
      </c>
      <c r="C17" s="102" t="s">
        <v>2144</v>
      </c>
      <c r="D17" s="102" t="s">
        <v>2145</v>
      </c>
    </row>
    <row r="18" spans="1:4" x14ac:dyDescent="0.3">
      <c r="A18" s="102" t="s">
        <v>2146</v>
      </c>
      <c r="B18" s="102" t="s">
        <v>2147</v>
      </c>
      <c r="C18" s="102" t="s">
        <v>2148</v>
      </c>
      <c r="D18" s="102" t="s">
        <v>2149</v>
      </c>
    </row>
    <row r="19" spans="1:4" x14ac:dyDescent="0.3">
      <c r="A19" s="102" t="s">
        <v>2150</v>
      </c>
      <c r="B19" s="102">
        <v>20</v>
      </c>
      <c r="C19" s="102" t="s">
        <v>2151</v>
      </c>
      <c r="D19" s="102" t="s">
        <v>2149</v>
      </c>
    </row>
    <row r="20" spans="1:4" x14ac:dyDescent="0.3">
      <c r="A20" s="102" t="s">
        <v>920</v>
      </c>
      <c r="B20" s="102">
        <v>44</v>
      </c>
      <c r="C20" s="102" t="s">
        <v>2152</v>
      </c>
      <c r="D20" s="102" t="s">
        <v>2149</v>
      </c>
    </row>
    <row r="21" spans="1:4" x14ac:dyDescent="0.3">
      <c r="A21" s="102" t="s">
        <v>922</v>
      </c>
      <c r="B21" s="102" t="s">
        <v>2153</v>
      </c>
      <c r="C21" s="102" t="s">
        <v>2154</v>
      </c>
      <c r="D21" s="102" t="s">
        <v>2149</v>
      </c>
    </row>
    <row r="22" spans="1:4" x14ac:dyDescent="0.3">
      <c r="A22" s="102" t="s">
        <v>2155</v>
      </c>
      <c r="B22" s="102" t="s">
        <v>2156</v>
      </c>
      <c r="C22" s="102" t="s">
        <v>2157</v>
      </c>
      <c r="D22" s="102" t="s">
        <v>2158</v>
      </c>
    </row>
    <row r="23" spans="1:4" x14ac:dyDescent="0.3">
      <c r="A23" s="102" t="s">
        <v>2159</v>
      </c>
      <c r="B23" s="102">
        <v>19266</v>
      </c>
      <c r="C23" s="102" t="s">
        <v>2160</v>
      </c>
      <c r="D23" s="102" t="s">
        <v>2149</v>
      </c>
    </row>
    <row r="24" spans="1:4" x14ac:dyDescent="0.3">
      <c r="A24" s="102" t="s">
        <v>2161</v>
      </c>
      <c r="B24" s="102">
        <v>20265</v>
      </c>
      <c r="C24" s="102" t="s">
        <v>2160</v>
      </c>
      <c r="D24" s="102" t="s">
        <v>2149</v>
      </c>
    </row>
    <row r="25" spans="1:4" x14ac:dyDescent="0.3">
      <c r="A25" s="102" t="s">
        <v>2162</v>
      </c>
      <c r="B25" s="102">
        <v>39261</v>
      </c>
      <c r="C25" s="102" t="s">
        <v>2160</v>
      </c>
      <c r="D25" s="102" t="s">
        <v>2149</v>
      </c>
    </row>
    <row r="26" spans="1:4" x14ac:dyDescent="0.3">
      <c r="A26" s="102" t="s">
        <v>1425</v>
      </c>
      <c r="B26" s="102">
        <v>150000</v>
      </c>
      <c r="C26" s="102" t="s">
        <v>2163</v>
      </c>
      <c r="D26" s="102" t="s">
        <v>2164</v>
      </c>
    </row>
    <row r="27" spans="1:4" x14ac:dyDescent="0.3">
      <c r="A27" s="54"/>
      <c r="B27" s="54"/>
      <c r="C27" s="54"/>
      <c r="D27" s="54"/>
    </row>
    <row r="28" spans="1:4" x14ac:dyDescent="0.3">
      <c r="A28" s="127" t="s">
        <v>2165</v>
      </c>
      <c r="B28" s="127" t="s">
        <v>644</v>
      </c>
      <c r="C28" s="127" t="s">
        <v>640</v>
      </c>
      <c r="D28" s="127" t="s">
        <v>2166</v>
      </c>
    </row>
    <row r="29" spans="1:4" x14ac:dyDescent="0.3">
      <c r="A29" s="102" t="s">
        <v>2167</v>
      </c>
      <c r="B29" s="102" t="s">
        <v>551</v>
      </c>
      <c r="C29" s="102" t="s">
        <v>502</v>
      </c>
      <c r="D29" s="102" t="s">
        <v>2168</v>
      </c>
    </row>
    <row r="30" spans="1:4" x14ac:dyDescent="0.3">
      <c r="A30" s="102" t="s">
        <v>2169</v>
      </c>
      <c r="B30" s="102" t="s">
        <v>601</v>
      </c>
      <c r="C30" s="102" t="s">
        <v>502</v>
      </c>
      <c r="D30" s="102" t="s">
        <v>2170</v>
      </c>
    </row>
    <row r="31" spans="1:4" ht="28.8" x14ac:dyDescent="0.3">
      <c r="A31" s="102" t="s">
        <v>2171</v>
      </c>
      <c r="B31" s="102" t="s">
        <v>2172</v>
      </c>
      <c r="C31" s="102" t="s">
        <v>502</v>
      </c>
      <c r="D31" s="102" t="s">
        <v>2173</v>
      </c>
    </row>
    <row r="32" spans="1:4" x14ac:dyDescent="0.3">
      <c r="A32" s="102" t="s">
        <v>2105</v>
      </c>
      <c r="B32" s="102" t="s">
        <v>2174</v>
      </c>
      <c r="C32" s="102" t="s">
        <v>502</v>
      </c>
      <c r="D32" s="102" t="s">
        <v>2175</v>
      </c>
    </row>
    <row r="33" spans="1:4" x14ac:dyDescent="0.3">
      <c r="A33" s="102" t="s">
        <v>2176</v>
      </c>
      <c r="B33" s="102" t="s">
        <v>501</v>
      </c>
      <c r="C33" s="102" t="s">
        <v>502</v>
      </c>
      <c r="D33" s="102" t="s">
        <v>2177</v>
      </c>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Read Me</vt:lpstr>
      <vt:lpstr>Parts Master</vt:lpstr>
      <vt:lpstr>Part Routes</vt:lpstr>
      <vt:lpstr>Assembly Sequence</vt:lpstr>
      <vt:lpstr>New Operations</vt:lpstr>
      <vt:lpstr>HE Stages</vt:lpstr>
      <vt:lpstr>PV Stages (ref)</vt:lpstr>
      <vt:lpstr>Material Master</vt:lpstr>
      <vt:lpstr>Lists</vt:lpstr>
      <vt:lpstr>Review Actions</vt:lpstr>
      <vt:lpstr>Pilot Review</vt:lpstr>
      <vt:lpstr>SP40 Drawing Basis</vt:lpstr>
      <vt:lpstr>PV Drawing Basis</vt:lpstr>
      <vt:lpstr>PV Review</vt:lpstr>
      <vt:lpstr>'Assembly Sequence'!Print_Titles</vt:lpstr>
      <vt:lpstr>'HE Stages'!Print_Titles</vt:lpstr>
      <vt:lpstr>'Material Master'!Print_Titles</vt:lpstr>
      <vt:lpstr>'New Operations'!Print_Titles</vt:lpstr>
      <vt:lpstr>'Part Routes'!Print_Titles</vt:lpstr>
      <vt:lpstr>'Parts Master'!Print_Titles</vt:lpstr>
      <vt:lpstr>'PV Stages (ref)'!Print_Titles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Precise Engineers</cp:lastModifiedBy>
  <cp:revision>0</cp:revision>
  <dcterms:created xsi:type="dcterms:W3CDTF">2026-09-26T17:46:20Z</dcterms:created>
  <dcterms:modified xsi:type="dcterms:W3CDTF">2026-10-07T16:14:16Z</dcterms:modified>
  <dc:language>en-US</dc:language>
</cp:coreProperties>
</file>